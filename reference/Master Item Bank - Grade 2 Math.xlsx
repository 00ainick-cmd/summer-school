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andards" sheetId="2" state="visible" r:id="rId4"/>
    <sheet name="Items" sheetId="3" state="visible" r:id="rId5"/>
    <sheet name="Enums" sheetId="4" state="visible" r:id="rId6"/>
    <sheet name="Coverage" sheetId="5" state="visible" r:id="rId7"/>
  </sheets>
  <definedNames>
    <definedName function="false" hidden="true" localSheetId="2" name="_xlnm._FilterDatabase" vbProcedure="false">Items!$A$1:$X$96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<sst xmlns="http://schemas.openxmlformats.org/spreadsheetml/2006/main" count="2135" uniqueCount="647">
  <si>
    <t xml:space="preserve">Master Item Bank</t>
  </si>
  <si>
    <t xml:space="preserve">One source of truth for every practice item, assessment item, explanation, and standard link.</t>
  </si>
  <si>
    <t xml:space="preserve">What this is</t>
  </si>
  <si>
    <t xml:space="preserve">A single bank of items. Lessons and assessment packages are VIEWS pulled from this bank by filtering, rather than hand-built each time. Author an item once, reuse it in a lesson, a summative form, a delayed retake, a capstone, or a spiral review in a later unit.</t>
  </si>
  <si>
    <t xml:space="preserve">How to use it</t>
  </si>
  <si>
    <t xml:space="preserve">Work on the Items tab. Filter by Standard code, Item type, or Form / Use to pull the set you need. Controlled columns have dropdowns (see the Enums tab) so values stay consistent. The Standards tab holds the verbatim standard each item links to. The Coverage tab counts items per standard so gaps are visible.</t>
  </si>
  <si>
    <t xml:space="preserve">Why it is domain-agnostic</t>
  </si>
  <si>
    <t xml:space="preserve">The schema carries the scoring model, not a quiz assumption. A math item is type MC, scored auto-key by the system. An avionics item is type Performance, scored by observed sign-off from a qualified evaluator, with References pointing to the maintenance manual or AC 43.13. A history item is type Constructed, scored by rubric. Same table, any domain.</t>
  </si>
  <si>
    <t xml:space="preserve">Item types</t>
  </si>
  <si>
    <t xml:space="preserve">MC (selected response), Constructed (written explanation), Performance (observed or produced task). Use Performance for procedural and hands-on standards.</t>
  </si>
  <si>
    <t xml:space="preserve">Scoring method</t>
  </si>
  <si>
    <t xml:space="preserve">auto-key (the system grades it), rubric (an adult grades against criteria), observed sign-off (a qualified evaluator watches and signs). Who scores names the role.</t>
  </si>
  <si>
    <t xml:space="preserve">Form / Use</t>
  </si>
  <si>
    <t xml:space="preserve">Where the item is used: Lesson practice, Lesson mastery, Summative A, Delayed B, Capstone, Performance task, Decode game. One item can be promoted from practice to a form by changing this field.</t>
  </si>
  <si>
    <t xml:space="preserve">Non-compensatory note</t>
  </si>
  <si>
    <t xml:space="preserve">Performance and Constructed items carry the weight a credential rests on. A critical defect on those is an automatic not-yet regardless of MC score. The Misconception targeted column records the defect each item is built to catch.</t>
  </si>
  <si>
    <t xml:space="preserve">What is seeded now</t>
  </si>
  <si>
    <t xml:space="preserve">All of Grade 2 Unit 1: the A.2 through A.5 assessment items (Forms A and B plus the constructed items), the four performance tasks, a full A.1 set, and the unit capstone. 95 items across the five Unit 1 standards.</t>
  </si>
  <si>
    <t xml:space="preserve">Next steps</t>
  </si>
  <si>
    <t xml:space="preserve">Bulk-import the remaining Grade 2, 3, and 8 standards into the Standards tab, then author or import their items. Long term, export this bank to JSON so the lesson files read their questions from the bank instead of hardcoding them.</t>
  </si>
  <si>
    <t xml:space="preserve">Last updated</t>
  </si>
  <si>
    <t xml:space="preserve">2026-05-22</t>
  </si>
  <si>
    <t xml:space="preserve">Standard code</t>
  </si>
  <si>
    <t xml:space="preserve">Grade</t>
  </si>
  <si>
    <t xml:space="preserve">Domain</t>
  </si>
  <si>
    <t xml:space="preserve">Standard text (verbatim)</t>
  </si>
  <si>
    <t xml:space="preserve">Common Core alignment</t>
  </si>
  <si>
    <t xml:space="preserve">Source</t>
  </si>
  <si>
    <t xml:space="preserve">Unit</t>
  </si>
  <si>
    <t xml:space="preserve">Recipe type</t>
  </si>
  <si>
    <t xml:space="preserve">2.NBT.A.1</t>
  </si>
  <si>
    <t xml:space="preserve">NBT</t>
  </si>
  <si>
    <t xml:space="preserve">Understand three-digit numbers are composed of hundreds, tens and ones.</t>
  </si>
  <si>
    <t xml:space="preserve">Missouri Learning Standards (DESE 2016)</t>
  </si>
  <si>
    <t xml:space="preserve">Unit 1: Place Value to 1,000</t>
  </si>
  <si>
    <t xml:space="preserve">Conceptual</t>
  </si>
  <si>
    <t xml:space="preserve">2.NBT.A.2</t>
  </si>
  <si>
    <t xml:space="preserve">Understand that 100 can be thought of as 10 tens, called a "hundred".</t>
  </si>
  <si>
    <t xml:space="preserve">2.NBT.A.1.a</t>
  </si>
  <si>
    <t xml:space="preserve">2.NBT.A.3</t>
  </si>
  <si>
    <t xml:space="preserve">Count within 1000 by 1s, 10s and 100s starting with any number.</t>
  </si>
  <si>
    <t xml:space="preserve">Procedural</t>
  </si>
  <si>
    <t xml:space="preserve">2.NBT.A.4</t>
  </si>
  <si>
    <t xml:space="preserve">Read and write numbers to 1000 using number names, base-ten numerals and expanded form.</t>
  </si>
  <si>
    <t xml:space="preserve">2.NBT.A.5</t>
  </si>
  <si>
    <t xml:space="preserve">Compare two three-digit numbers using the symbols &gt;, = or &lt;.</t>
  </si>
  <si>
    <t xml:space="preserve">Item ID</t>
  </si>
  <si>
    <t xml:space="preserve">Lesson / Atom</t>
  </si>
  <si>
    <t xml:space="preserve">Item type</t>
  </si>
  <si>
    <t xml:space="preserve">Cognitive level</t>
  </si>
  <si>
    <t xml:space="preserve">Stem</t>
  </si>
  <si>
    <t xml:space="preserve">Option A</t>
  </si>
  <si>
    <t xml:space="preserve">Option B</t>
  </si>
  <si>
    <t xml:space="preserve">Option C</t>
  </si>
  <si>
    <t xml:space="preserve">Option D</t>
  </si>
  <si>
    <t xml:space="preserve">Key</t>
  </si>
  <si>
    <t xml:space="preserve">Explanation</t>
  </si>
  <si>
    <t xml:space="preserve">Misconception targeted</t>
  </si>
  <si>
    <t xml:space="preserve">Points</t>
  </si>
  <si>
    <t xml:space="preserve">Who scores</t>
  </si>
  <si>
    <t xml:space="preserve">References</t>
  </si>
  <si>
    <t xml:space="preserve">Status</t>
  </si>
  <si>
    <t xml:space="preserve">2.NBT.A.2-A1</t>
  </si>
  <si>
    <t xml:space="preserve">G2-U1 / 2.NBT.A.2</t>
  </si>
  <si>
    <t xml:space="preserve">MC</t>
  </si>
  <si>
    <t xml:space="preserve">Remember</t>
  </si>
  <si>
    <t xml:space="preserve">Summative A</t>
  </si>
  <si>
    <t xml:space="preserve">How many tens make one hundred?</t>
  </si>
  <si>
    <t xml:space="preserve">10</t>
  </si>
  <si>
    <t xml:space="preserve">5</t>
  </si>
  <si>
    <t xml:space="preserve">100</t>
  </si>
  <si>
    <t xml:space="preserve">1000</t>
  </si>
  <si>
    <t xml:space="preserve">ten</t>
  </si>
  <si>
    <t xml:space="preserve">Counting by tens, it takes ten tens to reach one hundred.</t>
  </si>
  <si>
    <t xml:space="preserve">100 = face value of the number; 5 = half error; 1000 = over-bundling (ten hundreds).</t>
  </si>
  <si>
    <t xml:space="preserve">auto-key</t>
  </si>
  <si>
    <t xml:space="preserve">system</t>
  </si>
  <si>
    <t xml:space="preserve">Missouri Learning Standards (DESE 2016); Common Core 2.NBT.A; base-ten manipulatives</t>
  </si>
  <si>
    <t xml:space="preserve">Ready</t>
  </si>
  <si>
    <t xml:space="preserve">2.NBT.A.2-A2</t>
  </si>
  <si>
    <t xml:space="preserve">Understand</t>
  </si>
  <si>
    <t xml:space="preserve">100 is the same as how many tens?</t>
  </si>
  <si>
    <t xml:space="preserve">1</t>
  </si>
  <si>
    <t xml:space="preserve">One hundred is exactly ten tens.</t>
  </si>
  <si>
    <t xml:space="preserve">1 = a hundred is one unit only; 100 = face-value error; 1000 = over-bundling.</t>
  </si>
  <si>
    <t xml:space="preserve">2.NBT.A.2-A3</t>
  </si>
  <si>
    <t xml:space="preserve">Ten tens is the same as how many ones?</t>
  </si>
  <si>
    <t xml:space="preserve">20</t>
  </si>
  <si>
    <t xml:space="preserve">Ten tens equals one hundred, which is 100 ones.</t>
  </si>
  <si>
    <t xml:space="preserve">10 = counting the tens not the ones; 20 = doubling; 1000 = over-bundling.</t>
  </si>
  <si>
    <t xml:space="preserve">2.NBT.A.2-A4</t>
  </si>
  <si>
    <t xml:space="preserve">Which group shows one hundred?</t>
  </si>
  <si>
    <t xml:space="preserve">10 ones</t>
  </si>
  <si>
    <t xml:space="preserve">1 ten</t>
  </si>
  <si>
    <t xml:space="preserve">10 tens</t>
  </si>
  <si>
    <t xml:space="preserve">100 tens</t>
  </si>
  <si>
    <t xml:space="preserve">One hundred is ten tens bundled together.</t>
  </si>
  <si>
    <t xml:space="preserve">10 ones = the ten-ones error; 1 ten = just a ten; 100 tens = over-counting.</t>
  </si>
  <si>
    <t xml:space="preserve">2.NBT.A.2-A5</t>
  </si>
  <si>
    <t xml:space="preserve">You bundle ten tens together. What single unit do you have now?</t>
  </si>
  <si>
    <t xml:space="preserve">one ten</t>
  </si>
  <si>
    <t xml:space="preserve">one hundred</t>
  </si>
  <si>
    <t xml:space="preserve">one thousand</t>
  </si>
  <si>
    <t xml:space="preserve">ten ones</t>
  </si>
  <si>
    <t xml:space="preserve">Ten tens snap together into one new unit, one hundred.</t>
  </si>
  <si>
    <t xml:space="preserve">one ten = no bundling happened; one thousand = over-bundling; ten ones = unit confusion.</t>
  </si>
  <si>
    <t xml:space="preserve">2.NBT.A.2-A6</t>
  </si>
  <si>
    <t xml:space="preserve">Apply</t>
  </si>
  <si>
    <t xml:space="preserve">One hundred can be broken apart into how many tens?</t>
  </si>
  <si>
    <t xml:space="preserve">One hundred unbundles back into ten tens.</t>
  </si>
  <si>
    <t xml:space="preserve">100 = breaking into ones not tens; 5 = half; 1 = treating a hundred as one ten.</t>
  </si>
  <si>
    <t xml:space="preserve">2.NBT.A.2-A7</t>
  </si>
  <si>
    <t xml:space="preserve">How many tens in all are in 2 hundreds (200)?</t>
  </si>
  <si>
    <t xml:space="preserve">2</t>
  </si>
  <si>
    <t xml:space="preserve">200</t>
  </si>
  <si>
    <t xml:space="preserve">Each hundred is ten tens, so two hundreds is 20 tens.</t>
  </si>
  <si>
    <t xml:space="preserve">2 = hundreds digit only; 200 = ones; 10 = tens in one hundred, forgot to double.</t>
  </si>
  <si>
    <t xml:space="preserve">2.NBT.A.2-A8</t>
  </si>
  <si>
    <t xml:space="preserve">A store has 10 boxes of markers. Each box holds 10 markers. How many markers in all, and what is that group called?</t>
  </si>
  <si>
    <t xml:space="preserve">100 markers, one hundred</t>
  </si>
  <si>
    <t xml:space="preserve">10 markers, one ten</t>
  </si>
  <si>
    <t xml:space="preserve">20 markers, two tens</t>
  </si>
  <si>
    <t xml:space="preserve">1000 markers, one thousand</t>
  </si>
  <si>
    <t xml:space="preserve">Ten groups of ten is ten tens, which is one hundred, or 100 markers.</t>
  </si>
  <si>
    <t xml:space="preserve">one ten = grouped by ones; two tens = added the groups; one thousand = over-bundling.</t>
  </si>
  <si>
    <t xml:space="preserve">2.NBT.A.2-A9</t>
  </si>
  <si>
    <t xml:space="preserve">Constructed</t>
  </si>
  <si>
    <t xml:space="preserve">Analyze</t>
  </si>
  <si>
    <t xml:space="preserve">Mia says one hundred is the same as ten ones. Explain why Mia is wrong, and tell what ten ones really make.</t>
  </si>
  <si>
    <t xml:space="preserve">Must state that ten ones make only one ten (not a hundred), and that one hundred is ten tens, which is 100 ones.</t>
  </si>
  <si>
    <t xml:space="preserve">Scored by rubric. Targets the ten-ones misconception directly.</t>
  </si>
  <si>
    <t xml:space="preserve">rubric</t>
  </si>
  <si>
    <t xml:space="preserve">adult</t>
  </si>
  <si>
    <t xml:space="preserve">2.NBT.A.2-B1</t>
  </si>
  <si>
    <t xml:space="preserve">Delayed B</t>
  </si>
  <si>
    <t xml:space="preserve">Count by tens to one hundred. How many tens did you count?</t>
  </si>
  <si>
    <t xml:space="preserve">9</t>
  </si>
  <si>
    <t xml:space="preserve">Ten tens reach one hundred.</t>
  </si>
  <si>
    <t xml:space="preserve">Parallel to A1.</t>
  </si>
  <si>
    <t xml:space="preserve">2.NBT.A.2-B2</t>
  </si>
  <si>
    <t xml:space="preserve">One hundred is the same as how many tens?</t>
  </si>
  <si>
    <t xml:space="preserve">One hundred is ten tens.</t>
  </si>
  <si>
    <t xml:space="preserve">Parallel to A2.</t>
  </si>
  <si>
    <t xml:space="preserve">2.NBT.A.2-B3</t>
  </si>
  <si>
    <t xml:space="preserve">How many ones are in ten tens?</t>
  </si>
  <si>
    <t xml:space="preserve">110</t>
  </si>
  <si>
    <t xml:space="preserve">Ten tens is one hundred, which is 100 ones.</t>
  </si>
  <si>
    <t xml:space="preserve">Parallel to A3.</t>
  </si>
  <si>
    <t xml:space="preserve">2.NBT.A.2-B4</t>
  </si>
  <si>
    <t xml:space="preserve">2 tens</t>
  </si>
  <si>
    <t xml:space="preserve">Parallel to A4.</t>
  </si>
  <si>
    <t xml:space="preserve">2.NBT.A.2-B5</t>
  </si>
  <si>
    <t xml:space="preserve">You snap ten ten-rods together. What single unit is that?</t>
  </si>
  <si>
    <t xml:space="preserve">Ten tens make one hundred.</t>
  </si>
  <si>
    <t xml:space="preserve">Parallel to A5.</t>
  </si>
  <si>
    <t xml:space="preserve">2.NBT.A.2-B6</t>
  </si>
  <si>
    <t xml:space="preserve">One hundred unbundles into how many tens?</t>
  </si>
  <si>
    <t xml:space="preserve">Parallel to A6.</t>
  </si>
  <si>
    <t xml:space="preserve">2.NBT.A.2-B7</t>
  </si>
  <si>
    <t xml:space="preserve">How many tens in all are in 3 hundreds (300)?</t>
  </si>
  <si>
    <t xml:space="preserve">3</t>
  </si>
  <si>
    <t xml:space="preserve">30</t>
  </si>
  <si>
    <t xml:space="preserve">300</t>
  </si>
  <si>
    <t xml:space="preserve">Each hundred is ten tens, so three hundreds is 30 tens.</t>
  </si>
  <si>
    <t xml:space="preserve">Parallel to A7.</t>
  </si>
  <si>
    <t xml:space="preserve">2.NBT.A.2-B8</t>
  </si>
  <si>
    <t xml:space="preserve">A teacher has 10 bags of stickers. Each bag holds 10 stickers. How many stickers in all, and what is that group called?</t>
  </si>
  <si>
    <t xml:space="preserve">10 stickers, one ten</t>
  </si>
  <si>
    <t xml:space="preserve">100 stickers, one hundred</t>
  </si>
  <si>
    <t xml:space="preserve">1000 stickers, one thousand</t>
  </si>
  <si>
    <t xml:space="preserve">20 stickers, two tens</t>
  </si>
  <si>
    <t xml:space="preserve">Ten groups of ten is ten tens, one hundred, or 100 stickers.</t>
  </si>
  <si>
    <t xml:space="preserve">Parallel to A8.</t>
  </si>
  <si>
    <t xml:space="preserve">2.NBT.A.2-B9</t>
  </si>
  <si>
    <t xml:space="preserve">Leo says ten tens make one ten. Explain why Leo is wrong, and tell what ten tens really make.</t>
  </si>
  <si>
    <t xml:space="preserve">Must state that ten tens make one hundred (100 ones), not one ten, because bundling ten tens creates the next larger unit.</t>
  </si>
  <si>
    <t xml:space="preserve">Parallel to A9.</t>
  </si>
  <si>
    <t xml:space="preserve">2.NBT.A.3-A1</t>
  </si>
  <si>
    <t xml:space="preserve">G2-U1 / 2.NBT.A.3</t>
  </si>
  <si>
    <t xml:space="preserve">Count by tens: 340, 350, 360 ... what comes next?</t>
  </si>
  <si>
    <t xml:space="preserve">370</t>
  </si>
  <si>
    <t xml:space="preserve">361</t>
  </si>
  <si>
    <t xml:space="preserve">460</t>
  </si>
  <si>
    <t xml:space="preserve">350</t>
  </si>
  <si>
    <t xml:space="preserve">Counting on by ten increases the tens digit by one.</t>
  </si>
  <si>
    <t xml:space="preserve">361 = added 1 not 10; 460 = added 100; 350 = repeated the last number.</t>
  </si>
  <si>
    <t xml:space="preserve">2.NBT.A.3-A2</t>
  </si>
  <si>
    <t xml:space="preserve">When you count on by ten, which digit changes?</t>
  </si>
  <si>
    <t xml:space="preserve">the ones</t>
  </si>
  <si>
    <t xml:space="preserve">the tens</t>
  </si>
  <si>
    <t xml:space="preserve">the hundreds</t>
  </si>
  <si>
    <t xml:space="preserve">none of them</t>
  </si>
  <si>
    <t xml:space="preserve">Adding ten changes the tens place.</t>
  </si>
  <si>
    <t xml:space="preserve">ones = treating +10 like +1; hundreds = confusing with +100; none = thinks the number is unchanged.</t>
  </si>
  <si>
    <t xml:space="preserve">2.NBT.A.3-A3</t>
  </si>
  <si>
    <t xml:space="preserve">Start at 23 and count by tens: 23, 33 ... what comes next?</t>
  </si>
  <si>
    <t xml:space="preserve">24</t>
  </si>
  <si>
    <t xml:space="preserve">123</t>
  </si>
  <si>
    <t xml:space="preserve">43</t>
  </si>
  <si>
    <t xml:space="preserve">33</t>
  </si>
  <si>
    <t xml:space="preserve">You may start a skip count at any number; by tens, 33 then 43.</t>
  </si>
  <si>
    <t xml:space="preserve">24 = counted by 1; 123 = counted by 100; 33 = repeated.</t>
  </si>
  <si>
    <t xml:space="preserve">2.NBT.A.3-A4</t>
  </si>
  <si>
    <t xml:space="preserve">Count on by ten from 295: 295 ... what comes next?</t>
  </si>
  <si>
    <t xml:space="preserve">296</t>
  </si>
  <si>
    <t xml:space="preserve">395</t>
  </si>
  <si>
    <t xml:space="preserve">285</t>
  </si>
  <si>
    <t xml:space="preserve">305</t>
  </si>
  <si>
    <t xml:space="preserve">Nine tens plus one ten makes ten tens, which rolls into a new hundred: 305.</t>
  </si>
  <si>
    <t xml:space="preserve">296 = added 1; 395 = added 100; 285 = subtracted 10.</t>
  </si>
  <si>
    <t xml:space="preserve">2.NBT.A.3-A5</t>
  </si>
  <si>
    <t xml:space="preserve">Count on by 1: 199 ... what comes next?</t>
  </si>
  <si>
    <t xml:space="preserve">1910</t>
  </si>
  <si>
    <t xml:space="preserve">190</t>
  </si>
  <si>
    <t xml:space="preserve">199 plus 1 rolls the ones and tens over into 200.</t>
  </si>
  <si>
    <t xml:space="preserve">1910 = wrote the digits side by side; 190 = went backward; 100 = unrelated.</t>
  </si>
  <si>
    <t xml:space="preserve">2.NBT.A.3-A6</t>
  </si>
  <si>
    <t xml:space="preserve">Count by hundreds: 408, 508, 608 ... what comes next?</t>
  </si>
  <si>
    <t xml:space="preserve">618</t>
  </si>
  <si>
    <t xml:space="preserve">708</t>
  </si>
  <si>
    <t xml:space="preserve">4080</t>
  </si>
  <si>
    <t xml:space="preserve">508</t>
  </si>
  <si>
    <t xml:space="preserve">Counting on by one hundred increases the hundreds digit by one.</t>
  </si>
  <si>
    <t xml:space="preserve">618 = added 110; 4080 = wrote digits side by side; 508 = repeated.</t>
  </si>
  <si>
    <t xml:space="preserve">2.NBT.A.3-A7</t>
  </si>
  <si>
    <t xml:space="preserve">Count back by ten: 530, 520, 510 ... what comes next?</t>
  </si>
  <si>
    <t xml:space="preserve">509</t>
  </si>
  <si>
    <t xml:space="preserve">410</t>
  </si>
  <si>
    <t xml:space="preserve">500</t>
  </si>
  <si>
    <t xml:space="preserve">511</t>
  </si>
  <si>
    <t xml:space="preserve">Counting back by ten lowers the tens digit by one.</t>
  </si>
  <si>
    <t xml:space="preserve">509 = went back by 1; 410 = back by 100; 511 = went up by 1.</t>
  </si>
  <si>
    <t xml:space="preserve">2.NBT.A.3-A8</t>
  </si>
  <si>
    <t xml:space="preserve">Count by hundreds: 690, 790, 890 ... what comes next?</t>
  </si>
  <si>
    <t xml:space="preserve">900</t>
  </si>
  <si>
    <t xml:space="preserve">891</t>
  </si>
  <si>
    <t xml:space="preserve">6900</t>
  </si>
  <si>
    <t xml:space="preserve">990</t>
  </si>
  <si>
    <t xml:space="preserve">Each jump adds one hundred, so after 890 comes 990, still under 1000.</t>
  </si>
  <si>
    <t xml:space="preserve">900 = added 10; 891 = added 1; 6900 = wrote digits side by side.</t>
  </si>
  <si>
    <t xml:space="preserve">2.NBT.A.3-A9</t>
  </si>
  <si>
    <t xml:space="preserve">Sam counts by tens from 295 and says the next number is 296. Explain why Sam is wrong and give the correct next number.</t>
  </si>
  <si>
    <t xml:space="preserve">Must state that counting on by ten changes the tens (not the ones), and that 295 plus 10 crosses into a new hundred, so the correct next number is 305.</t>
  </si>
  <si>
    <t xml:space="preserve">Scored by rubric. Targets the +10-acts-like-+1 error and the boundary-crossing error.</t>
  </si>
  <si>
    <t xml:space="preserve">2.NBT.A.3-B1</t>
  </si>
  <si>
    <t xml:space="preserve">Count by tens: 510, 520, 530 ... what comes next?</t>
  </si>
  <si>
    <t xml:space="preserve">540</t>
  </si>
  <si>
    <t xml:space="preserve">531</t>
  </si>
  <si>
    <t xml:space="preserve">640</t>
  </si>
  <si>
    <t xml:space="preserve">520</t>
  </si>
  <si>
    <t xml:space="preserve">2.NBT.A.3-B2</t>
  </si>
  <si>
    <t xml:space="preserve">When you count on by one hundred, which digit changes?</t>
  </si>
  <si>
    <t xml:space="preserve">Adding one hundred changes the hundreds place.</t>
  </si>
  <si>
    <t xml:space="preserve">2.NBT.A.3-B3</t>
  </si>
  <si>
    <t xml:space="preserve">Start at 47 and count by tens: 47, 57 ... what comes next?</t>
  </si>
  <si>
    <t xml:space="preserve">48</t>
  </si>
  <si>
    <t xml:space="preserve">147</t>
  </si>
  <si>
    <t xml:space="preserve">67</t>
  </si>
  <si>
    <t xml:space="preserve">57</t>
  </si>
  <si>
    <t xml:space="preserve">You may start a skip count at any number; by tens, 57 then 67.</t>
  </si>
  <si>
    <t xml:space="preserve">2.NBT.A.3-B4</t>
  </si>
  <si>
    <t xml:space="preserve">Count on by ten from 392: 392 ... what comes next?</t>
  </si>
  <si>
    <t xml:space="preserve">393</t>
  </si>
  <si>
    <t xml:space="preserve">492</t>
  </si>
  <si>
    <t xml:space="preserve">302</t>
  </si>
  <si>
    <t xml:space="preserve">402</t>
  </si>
  <si>
    <t xml:space="preserve">Nine tens plus one ten rolls into a new hundred: 402.</t>
  </si>
  <si>
    <t xml:space="preserve">2.NBT.A.3-B5</t>
  </si>
  <si>
    <t xml:space="preserve">Count on by 1: 499 ... what comes next?</t>
  </si>
  <si>
    <t xml:space="preserve">4910</t>
  </si>
  <si>
    <t xml:space="preserve">490</t>
  </si>
  <si>
    <t xml:space="preserve">400</t>
  </si>
  <si>
    <t xml:space="preserve">499 plus 1 rolls over into 500.</t>
  </si>
  <si>
    <t xml:space="preserve">2.NBT.A.3-B6</t>
  </si>
  <si>
    <t xml:space="preserve">Count by hundreds: 263, 363, 463 ... what comes next?</t>
  </si>
  <si>
    <t xml:space="preserve">473</t>
  </si>
  <si>
    <t xml:space="preserve">563</t>
  </si>
  <si>
    <t xml:space="preserve">2630</t>
  </si>
  <si>
    <t xml:space="preserve">363</t>
  </si>
  <si>
    <t xml:space="preserve">2.NBT.A.3-B7</t>
  </si>
  <si>
    <t xml:space="preserve">Count back by one hundred: 700, 600 ... what comes next?</t>
  </si>
  <si>
    <t xml:space="preserve">690</t>
  </si>
  <si>
    <t xml:space="preserve">590</t>
  </si>
  <si>
    <t xml:space="preserve">501</t>
  </si>
  <si>
    <t xml:space="preserve">Counting back by one hundred lowers the hundreds digit by one.</t>
  </si>
  <si>
    <t xml:space="preserve">2.NBT.A.3-B8</t>
  </si>
  <si>
    <t xml:space="preserve">Count by hundreds: 680, 780, 880 ... what comes next?</t>
  </si>
  <si>
    <t xml:space="preserve">890</t>
  </si>
  <si>
    <t xml:space="preserve">881</t>
  </si>
  <si>
    <t xml:space="preserve">6800</t>
  </si>
  <si>
    <t xml:space="preserve">980</t>
  </si>
  <si>
    <t xml:space="preserve">Each jump adds one hundred, so after 880 comes 980, still under 1000.</t>
  </si>
  <si>
    <t xml:space="preserve">2.NBT.A.3-B9</t>
  </si>
  <si>
    <t xml:space="preserve">Mara counts by hundreds from 408 and says the next number is 418. Explain why Mara is wrong and give the correct next number.</t>
  </si>
  <si>
    <t xml:space="preserve">Must state that counting on by one hundred changes the hundreds (not the tens), so the correct next number is 508.</t>
  </si>
  <si>
    <t xml:space="preserve">2.NBT.A.4-A1</t>
  </si>
  <si>
    <t xml:space="preserve">G2-U1 / 2.NBT.A.4</t>
  </si>
  <si>
    <t xml:space="preserve">Which words name the number 245?</t>
  </si>
  <si>
    <t xml:space="preserve">two hundred forty-five</t>
  </si>
  <si>
    <t xml:space="preserve">two hundred fifty-four</t>
  </si>
  <si>
    <t xml:space="preserve">two hundred forty</t>
  </si>
  <si>
    <t xml:space="preserve">twenty-four five</t>
  </si>
  <si>
    <t xml:space="preserve">245 is read as two hundred forty-five.</t>
  </si>
  <si>
    <t xml:space="preserve">fifty-four = swapped tens and ones; forty = dropped the ones; twenty-four five = read digits separately.</t>
  </si>
  <si>
    <t xml:space="preserve">2.NBT.A.4-A2</t>
  </si>
  <si>
    <t xml:space="preserve">Write "three hundred sixty-one" as a number.</t>
  </si>
  <si>
    <t xml:space="preserve">30061</t>
  </si>
  <si>
    <t xml:space="preserve">316</t>
  </si>
  <si>
    <t xml:space="preserve">3061</t>
  </si>
  <si>
    <t xml:space="preserve">Three hundreds, six tens, one one is 361.</t>
  </si>
  <si>
    <t xml:space="preserve">30061 = wrote pieces side by side; 316 = swapped tens and ones; 3061 = extra zero.</t>
  </si>
  <si>
    <t xml:space="preserve">2.NBT.A.4-A3</t>
  </si>
  <si>
    <t xml:space="preserve">Write "seven hundred four" as a number.</t>
  </si>
  <si>
    <t xml:space="preserve">74</t>
  </si>
  <si>
    <t xml:space="preserve">7004</t>
  </si>
  <si>
    <t xml:space="preserve">704</t>
  </si>
  <si>
    <t xml:space="preserve">740</t>
  </si>
  <si>
    <t xml:space="preserve">No tens, so a 0 holds the tens place: 704.</t>
  </si>
  <si>
    <t xml:space="preserve">74 = dropped the hundreds zero; 7004 = wrote pieces side by side; 740 = put the 4 in the wrong place.</t>
  </si>
  <si>
    <t xml:space="preserve">2.NBT.A.4-A4</t>
  </si>
  <si>
    <t xml:space="preserve">Which is the expanded form of 583?</t>
  </si>
  <si>
    <t xml:space="preserve">5 + 8 + 3</t>
  </si>
  <si>
    <t xml:space="preserve">500 + 8 + 3</t>
  </si>
  <si>
    <t xml:space="preserve">50 + 80 + 3</t>
  </si>
  <si>
    <t xml:space="preserve">500 + 80 + 3</t>
  </si>
  <si>
    <t xml:space="preserve">Each digit is written as the value of its place.</t>
  </si>
  <si>
    <t xml:space="preserve">face digits; 8 not 80; 5 not 500.</t>
  </si>
  <si>
    <t xml:space="preserve">2.NBT.A.4-A5</t>
  </si>
  <si>
    <t xml:space="preserve">Which number is the same as 200 + 50 + 9?</t>
  </si>
  <si>
    <t xml:space="preserve">259</t>
  </si>
  <si>
    <t xml:space="preserve">2509</t>
  </si>
  <si>
    <t xml:space="preserve">295</t>
  </si>
  <si>
    <t xml:space="preserve">2059</t>
  </si>
  <si>
    <t xml:space="preserve">Two hundreds, five tens, nine ones is 259.</t>
  </si>
  <si>
    <t xml:space="preserve">2509 = wrote pieces side by side; 295 = swapped; 2059 = extra zero.</t>
  </si>
  <si>
    <t xml:space="preserve">2.NBT.A.4-A6</t>
  </si>
  <si>
    <t xml:space="preserve">Which number is the same as 600 + 4?</t>
  </si>
  <si>
    <t xml:space="preserve">64</t>
  </si>
  <si>
    <t xml:space="preserve">604</t>
  </si>
  <si>
    <t xml:space="preserve">6004</t>
  </si>
  <si>
    <t xml:space="preserve">Six hundreds and four ones, no tens, is 604.</t>
  </si>
  <si>
    <t xml:space="preserve">64 = dropped the hundreds; 640 = 4 in wrong place; 6004 = wrote pieces side by side.</t>
  </si>
  <si>
    <t xml:space="preserve">2.NBT.A.4-A7</t>
  </si>
  <si>
    <t xml:space="preserve">Which is the expanded form of 470?</t>
  </si>
  <si>
    <t xml:space="preserve">400 + 7</t>
  </si>
  <si>
    <t xml:space="preserve">4 + 70</t>
  </si>
  <si>
    <t xml:space="preserve">400 + 70</t>
  </si>
  <si>
    <t xml:space="preserve">47</t>
  </si>
  <si>
    <t xml:space="preserve">470 is four hundreds and seven tens, with no ones.</t>
  </si>
  <si>
    <t xml:space="preserve">400 + 7 = ones not tens; 4 + 70 = undervalued hundreds; 47 = not expanded.</t>
  </si>
  <si>
    <t xml:space="preserve">2.NBT.A.4-A8</t>
  </si>
  <si>
    <t xml:space="preserve">A sign reads "six hundred thirty". Write it as a number.</t>
  </si>
  <si>
    <t xml:space="preserve">6030</t>
  </si>
  <si>
    <t xml:space="preserve">63</t>
  </si>
  <si>
    <t xml:space="preserve">603</t>
  </si>
  <si>
    <t xml:space="preserve">630</t>
  </si>
  <si>
    <t xml:space="preserve">Six hundreds, three tens, no ones is 630.</t>
  </si>
  <si>
    <t xml:space="preserve">6030 = wrote pieces side by side; 63 = dropped a place; 603 = swapped tens and ones.</t>
  </si>
  <si>
    <t xml:space="preserve">2.NBT.A.4-A9</t>
  </si>
  <si>
    <t xml:space="preserve">Jordan writes "four hundred nine" as 4009. Explain why Jordan is wrong and write the correct number.</t>
  </si>
  <si>
    <t xml:space="preserve">Must state that there are no tens, so a single 0 holds the tens place, and the number is 409 (the hundred is not written as 400 with a 9 added on).</t>
  </si>
  <si>
    <t xml:space="preserve">Scored by rubric. Targets the concatenation and zero-placeholder errors.</t>
  </si>
  <si>
    <t xml:space="preserve">2.NBT.A.4-B1</t>
  </si>
  <si>
    <t xml:space="preserve">Which words name the number 372?</t>
  </si>
  <si>
    <t xml:space="preserve">three hundred seventy-two</t>
  </si>
  <si>
    <t xml:space="preserve">three hundred twenty-seven</t>
  </si>
  <si>
    <t xml:space="preserve">three hundred seventy</t>
  </si>
  <si>
    <t xml:space="preserve">thirty-seven two</t>
  </si>
  <si>
    <t xml:space="preserve">372 is read as three hundred seventy-two.</t>
  </si>
  <si>
    <t xml:space="preserve">2.NBT.A.4-B2</t>
  </si>
  <si>
    <t xml:space="preserve">Write "five hundred forty-eight" as a number.</t>
  </si>
  <si>
    <t xml:space="preserve">50048</t>
  </si>
  <si>
    <t xml:space="preserve">548</t>
  </si>
  <si>
    <t xml:space="preserve">584</t>
  </si>
  <si>
    <t xml:space="preserve">5048</t>
  </si>
  <si>
    <t xml:space="preserve">Five hundreds, four tens, eight ones is 548.</t>
  </si>
  <si>
    <t xml:space="preserve">2.NBT.A.4-B3</t>
  </si>
  <si>
    <t xml:space="preserve">Write "three hundred two" as a number.</t>
  </si>
  <si>
    <t xml:space="preserve">32</t>
  </si>
  <si>
    <t xml:space="preserve">3002</t>
  </si>
  <si>
    <t xml:space="preserve">320</t>
  </si>
  <si>
    <t xml:space="preserve">No tens, so a 0 holds the tens place: 302.</t>
  </si>
  <si>
    <t xml:space="preserve">2.NBT.A.4-B4</t>
  </si>
  <si>
    <t xml:space="preserve">Which is the expanded form of 916?</t>
  </si>
  <si>
    <t xml:space="preserve">9 + 1 + 6</t>
  </si>
  <si>
    <t xml:space="preserve">900 + 1 + 6</t>
  </si>
  <si>
    <t xml:space="preserve">90 + 10 + 6</t>
  </si>
  <si>
    <t xml:space="preserve">900 + 10 + 6</t>
  </si>
  <si>
    <t xml:space="preserve">2.NBT.A.4-B5</t>
  </si>
  <si>
    <t xml:space="preserve">Which number is the same as 400 + 30 + 7?</t>
  </si>
  <si>
    <t xml:space="preserve">437</t>
  </si>
  <si>
    <t xml:space="preserve">4307</t>
  </si>
  <si>
    <t xml:space="preserve">4037</t>
  </si>
  <si>
    <t xml:space="preserve">Four hundreds, three tens, seven ones is 437.</t>
  </si>
  <si>
    <t xml:space="preserve">2.NBT.A.4-B6</t>
  </si>
  <si>
    <t xml:space="preserve">Which number is the same as 800 + 5?</t>
  </si>
  <si>
    <t xml:space="preserve">85</t>
  </si>
  <si>
    <t xml:space="preserve">805</t>
  </si>
  <si>
    <t xml:space="preserve">850</t>
  </si>
  <si>
    <t xml:space="preserve">8005</t>
  </si>
  <si>
    <t xml:space="preserve">Eight hundreds and five ones, no tens, is 805.</t>
  </si>
  <si>
    <t xml:space="preserve">2.NBT.A.4-B7</t>
  </si>
  <si>
    <t xml:space="preserve">Which is the expanded form of 360?</t>
  </si>
  <si>
    <t xml:space="preserve">300 + 6</t>
  </si>
  <si>
    <t xml:space="preserve">3 + 6</t>
  </si>
  <si>
    <t xml:space="preserve">300 + 60</t>
  </si>
  <si>
    <t xml:space="preserve">360</t>
  </si>
  <si>
    <t xml:space="preserve">360 is three hundreds and six tens, with no ones.</t>
  </si>
  <si>
    <t xml:space="preserve">2.NBT.A.4-B8</t>
  </si>
  <si>
    <t xml:space="preserve">A page number reads "two hundred ninety". Write it as a number.</t>
  </si>
  <si>
    <t xml:space="preserve">2090</t>
  </si>
  <si>
    <t xml:space="preserve">29</t>
  </si>
  <si>
    <t xml:space="preserve">209</t>
  </si>
  <si>
    <t xml:space="preserve">290</t>
  </si>
  <si>
    <t xml:space="preserve">Two hundreds, nine tens, no ones is 290.</t>
  </si>
  <si>
    <t xml:space="preserve">2.NBT.A.4-B9</t>
  </si>
  <si>
    <t xml:space="preserve">Priya writes the number six hundred (600) in expanded form as 6 + 0 + 0. Explain why that is wrong and write a correct way to show 600.</t>
  </si>
  <si>
    <t xml:space="preserve">Must state that the 6 is in the hundreds place and is worth 600, so the expanded form is 600 (six hundreds), not 6; the value comes from the place.</t>
  </si>
  <si>
    <t xml:space="preserve">2.NBT.A.5-A1</t>
  </si>
  <si>
    <t xml:space="preserve">G2-U1 / 2.NBT.A.5</t>
  </si>
  <si>
    <t xml:space="preserve">Which symbol means "greater than"?</t>
  </si>
  <si>
    <t xml:space="preserve">&gt;</t>
  </si>
  <si>
    <t xml:space="preserve">&lt;</t>
  </si>
  <si>
    <t xml:space="preserve">=</t>
  </si>
  <si>
    <t xml:space="preserve">+</t>
  </si>
  <si>
    <t xml:space="preserve">The greater-than symbol is &gt;, with the open side toward the larger number.</t>
  </si>
  <si>
    <t xml:space="preserve">&lt; = less than; = means equal; + is an operation, not a comparison.</t>
  </si>
  <si>
    <t xml:space="preserve">2.NBT.A.5-A2</t>
  </si>
  <si>
    <t xml:space="preserve">Which symbol makes this true? 318 ? 281</t>
  </si>
  <si>
    <t xml:space="preserve">Compare the hundreds first: 3 hundreds beats 2 hundreds, so 318 is greater.</t>
  </si>
  <si>
    <t xml:space="preserve">&lt; = read it backward; = = treated them as equal.</t>
  </si>
  <si>
    <t xml:space="preserve">2.NBT.A.5-A3</t>
  </si>
  <si>
    <t xml:space="preserve">Which symbol makes this true? 627 ? 672</t>
  </si>
  <si>
    <t xml:space="preserve">Hundreds tie, so compare tens: 2 tens is less than 7 tens, so 627 is less.</t>
  </si>
  <si>
    <t xml:space="preserve">&gt; = compared by ones or backward; = = treated as equal.</t>
  </si>
  <si>
    <t xml:space="preserve">2.NBT.A.5-A4</t>
  </si>
  <si>
    <t xml:space="preserve">Which symbol makes this true? 453 ? 459</t>
  </si>
  <si>
    <t xml:space="preserve">Hundreds and tens tie, so compare ones: 3 is less than 9.</t>
  </si>
  <si>
    <t xml:space="preserve">&gt; = read it backward; = = ignored the ones.</t>
  </si>
  <si>
    <t xml:space="preserve">2.NBT.A.5-A5</t>
  </si>
  <si>
    <t xml:space="preserve">Which symbol makes this true? 500 ? 500</t>
  </si>
  <si>
    <t xml:space="preserve">Every place matches, so the numbers are equal.</t>
  </si>
  <si>
    <t xml:space="preserve">&gt; and &lt; = thinks two numbers cannot be equal.</t>
  </si>
  <si>
    <t xml:space="preserve">2.NBT.A.5-A6</t>
  </si>
  <si>
    <t xml:space="preserve">Which number is greater, 84 or 408?</t>
  </si>
  <si>
    <t xml:space="preserve">84</t>
  </si>
  <si>
    <t xml:space="preserve">they are equal</t>
  </si>
  <si>
    <t xml:space="preserve">408</t>
  </si>
  <si>
    <t xml:space="preserve">408 has a hundreds digit; 84 has none, so 408 is greater.</t>
  </si>
  <si>
    <t xml:space="preserve">84 = chose the larger single digit; equal = ignored place value.</t>
  </si>
  <si>
    <t xml:space="preserve">2.NBT.A.5-A7</t>
  </si>
  <si>
    <t xml:space="preserve">Which number is the greatest?</t>
  </si>
  <si>
    <t xml:space="preserve">390</t>
  </si>
  <si>
    <t xml:space="preserve">309</t>
  </si>
  <si>
    <t xml:space="preserve">93</t>
  </si>
  <si>
    <t xml:space="preserve">Compare hundreds first: 309 and 390 tie at 3 hundreds, then 9 tens beats 0 tens; 93 has no hundreds.</t>
  </si>
  <si>
    <t xml:space="preserve">309 = compared by ones; 93 = chose by a large single digit.</t>
  </si>
  <si>
    <t xml:space="preserve">2.NBT.A.5-A8</t>
  </si>
  <si>
    <t xml:space="preserve">To compare 463 and 459, which place decides the answer?</t>
  </si>
  <si>
    <t xml:space="preserve">hundreds</t>
  </si>
  <si>
    <t xml:space="preserve">tens</t>
  </si>
  <si>
    <t xml:space="preserve">ones</t>
  </si>
  <si>
    <t xml:space="preserve">Hundreds tie at 4, so the tens place (6 versus 5) decides it.</t>
  </si>
  <si>
    <t xml:space="preserve">hundreds = they tie; ones = you stop before reaching the ones.</t>
  </si>
  <si>
    <t xml:space="preserve">2.NBT.A.5-A9</t>
  </si>
  <si>
    <t xml:space="preserve">Dana says 281 is greater than 318 because 8 is bigger than 1. Explain why Dana is wrong and tell which number is actually greater.</t>
  </si>
  <si>
    <t xml:space="preserve">Must state that you compare the hundreds first, where 3 hundreds beats 2 hundreds, so 318 is greater; a bigger tens digit cannot beat a bigger hundreds digit.</t>
  </si>
  <si>
    <t xml:space="preserve">Scored by rubric. Targets the compare-by-single-digit error.</t>
  </si>
  <si>
    <t xml:space="preserve">2.NBT.A.5-B1</t>
  </si>
  <si>
    <t xml:space="preserve">Which symbol means "less than"?</t>
  </si>
  <si>
    <t xml:space="preserve">-</t>
  </si>
  <si>
    <t xml:space="preserve">The less-than symbol is &lt;, with the open side toward the larger number.</t>
  </si>
  <si>
    <t xml:space="preserve">&gt; = greater than; = means equal; - is an operation, not a comparison.</t>
  </si>
  <si>
    <t xml:space="preserve">2.NBT.A.5-B2</t>
  </si>
  <si>
    <t xml:space="preserve">Which symbol makes this true? 540 ? 480</t>
  </si>
  <si>
    <t xml:space="preserve">Compare the hundreds first: 5 hundreds beats 4 hundreds.</t>
  </si>
  <si>
    <t xml:space="preserve">2.NBT.A.5-B3</t>
  </si>
  <si>
    <t xml:space="preserve">Which symbol makes this true? 239 ? 241</t>
  </si>
  <si>
    <t xml:space="preserve">Hundreds tie, so compare tens: 3 tens is less than 4 tens.</t>
  </si>
  <si>
    <t xml:space="preserve">2.NBT.A.5-B4</t>
  </si>
  <si>
    <t xml:space="preserve">Which symbol makes this true? 716 ? 712</t>
  </si>
  <si>
    <t xml:space="preserve">Hundreds and tens tie, so compare ones: 6 is greater than 2.</t>
  </si>
  <si>
    <t xml:space="preserve">2.NBT.A.5-B5</t>
  </si>
  <si>
    <t xml:space="preserve">Which symbol makes this true? 730 ? 730</t>
  </si>
  <si>
    <t xml:space="preserve">2.NBT.A.5-B6</t>
  </si>
  <si>
    <t xml:space="preserve">Which number is greater, 92 or 207?</t>
  </si>
  <si>
    <t xml:space="preserve">92</t>
  </si>
  <si>
    <t xml:space="preserve">207</t>
  </si>
  <si>
    <t xml:space="preserve">207 has a hundreds digit; 92 has none, so 207 is greater.</t>
  </si>
  <si>
    <t xml:space="preserve">2.NBT.A.5-B7</t>
  </si>
  <si>
    <t xml:space="preserve">405</t>
  </si>
  <si>
    <t xml:space="preserve">54</t>
  </si>
  <si>
    <t xml:space="preserve">450</t>
  </si>
  <si>
    <t xml:space="preserve">405 and 450 tie at 4 hundreds, then 5 tens beats 0 tens; 54 has no hundreds.</t>
  </si>
  <si>
    <t xml:space="preserve">2.NBT.A.5-B8</t>
  </si>
  <si>
    <t xml:space="preserve">To compare 826 and 829, which place decides the answer?</t>
  </si>
  <si>
    <t xml:space="preserve">Hundreds and tens tie, so the ones place (6 versus 9) decides it.</t>
  </si>
  <si>
    <t xml:space="preserve">2.NBT.A.5-B9</t>
  </si>
  <si>
    <t xml:space="preserve">Eli says 627 is greater than 672 because both start with 6 and 7 appears in 627. Explain why Eli is wrong and tell which number is greater.</t>
  </si>
  <si>
    <t xml:space="preserve">Must state that after the equal hundreds you compare the tens: 2 tens is less than 7 tens, so 672 is greater than 627.</t>
  </si>
  <si>
    <t xml:space="preserve">2.NBT.A.2-PT</t>
  </si>
  <si>
    <t xml:space="preserve">Performance</t>
  </si>
  <si>
    <t xml:space="preserve">Apply / Analyze</t>
  </si>
  <si>
    <t xml:space="preserve">Performance task</t>
  </si>
  <si>
    <t xml:space="preserve">Using base-ten rods, show that ten tens make one hundred: build ten tens, then trade them for one hundred flat, and explain the trade.</t>
  </si>
  <si>
    <t xml:space="preserve">See rubric</t>
  </si>
  <si>
    <t xml:space="preserve">Proficient: builds ten tens, recognizes the bundle equals one hundred, and explains that 100 is 10 tens.</t>
  </si>
  <si>
    <t xml:space="preserve">Critical defect: treats one hundred as ten ones, or cannot explain the ten-tens bundle.</t>
  </si>
  <si>
    <t xml:space="preserve">2.NBT.A.3-PT</t>
  </si>
  <si>
    <t xml:space="preserve">From a teacher-given start number, count on by tens five times and on by ones across a hundred, aloud; then count back by tens.</t>
  </si>
  <si>
    <t xml:space="preserve">Proficient: starts at the given number, increments the right place, crosses ten and hundred boundaries cleanly, counts both directions.</t>
  </si>
  <si>
    <t xml:space="preserve">Critical defect: digit concatenation at a boundary (1910 after 199) or changing the wrong place each step.</t>
  </si>
  <si>
    <t xml:space="preserve">2.NBT.A.4-PT</t>
  </si>
  <si>
    <t xml:space="preserve">For a teacher-given number, produce the numeral, the number name, the expanded form, and the base-ten blocks, including a zero place.</t>
  </si>
  <si>
    <t xml:space="preserve">Proficient: all four forms correct, zero placeholder handled (506 not 56), expanded form uses place values.</t>
  </si>
  <si>
    <t xml:space="preserve">Critical defect: concatenation (4009 for four hundred nine), dropped zero, or face-value expanded form.</t>
  </si>
  <si>
    <t xml:space="preserve">2.NBT.A.5-PT</t>
  </si>
  <si>
    <t xml:space="preserve">Build two three-digit numbers, compare them place by place from the hundreds, write the correct symbol, and name the deciding place.</t>
  </si>
  <si>
    <t xml:space="preserve">Proficient: compares from the hundreds, records the correct symbol, names the deciding place, resists the face-value trap.</t>
  </si>
  <si>
    <t xml:space="preserve">Critical defect: comparing by a single digit instead of by place (281 over 318 because 8 over 1).</t>
  </si>
  <si>
    <t xml:space="preserve">2.NBT.A.1-A1</t>
  </si>
  <si>
    <t xml:space="preserve">G2-U1 / 2.NBT.A.1</t>
  </si>
  <si>
    <t xml:space="preserve">Lesson practice</t>
  </si>
  <si>
    <t xml:space="preserve">Which digit is in the hundreds place of 483?</t>
  </si>
  <si>
    <t xml:space="preserve">8</t>
  </si>
  <si>
    <t xml:space="preserve">4</t>
  </si>
  <si>
    <t xml:space="preserve">The leftmost digit of a three-digit number is the hundreds.</t>
  </si>
  <si>
    <t xml:space="preserve">Picks the ones or tens digit by reading position carelessly.</t>
  </si>
  <si>
    <t xml:space="preserve">2.NBT.A.1-A2</t>
  </si>
  <si>
    <t xml:space="preserve">What is the value of the 8 in 685?</t>
  </si>
  <si>
    <t xml:space="preserve">80</t>
  </si>
  <si>
    <t xml:space="preserve">800</t>
  </si>
  <si>
    <t xml:space="preserve">The 8 sits in the tens place, so it is worth 80.</t>
  </si>
  <si>
    <t xml:space="preserve">Face value (8); over-counts the place (800).</t>
  </si>
  <si>
    <t xml:space="preserve">2.NBT.A.1-A3</t>
  </si>
  <si>
    <t xml:space="preserve">Lesson mastery</t>
  </si>
  <si>
    <t xml:space="preserve">A number has 3 hundreds, 4 tens, and 2 ones. What is the number?</t>
  </si>
  <si>
    <t xml:space="preserve">342</t>
  </si>
  <si>
    <t xml:space="preserve">324</t>
  </si>
  <si>
    <t xml:space="preserve">3402</t>
  </si>
  <si>
    <t xml:space="preserve">Hundreds, then tens, then ones: 342.</t>
  </si>
  <si>
    <t xml:space="preserve">Swaps tens and ones (324); writes pieces side by side (3402).</t>
  </si>
  <si>
    <t xml:space="preserve">2.NBT.A.1-A4</t>
  </si>
  <si>
    <t xml:space="preserve">Which number is built from 5 hundreds, 0 tens, and 9 ones?</t>
  </si>
  <si>
    <t xml:space="preserve">59</t>
  </si>
  <si>
    <t xml:space="preserve">A 0 holds the empty tens place: 509.</t>
  </si>
  <si>
    <t xml:space="preserve">Drops the zero (59); misplaces the zero (590).</t>
  </si>
  <si>
    <t xml:space="preserve">2.NBT.A.1-A5</t>
  </si>
  <si>
    <t xml:space="preserve">In 716, how many are in the tens place?</t>
  </si>
  <si>
    <t xml:space="preserve">7 tens</t>
  </si>
  <si>
    <t xml:space="preserve">6 tens</t>
  </si>
  <si>
    <t xml:space="preserve">The tens digit of 716 is 1.</t>
  </si>
  <si>
    <t xml:space="preserve">Reads the hundreds (7) or ones (6) instead of the tens.</t>
  </si>
  <si>
    <t xml:space="preserve">2.NBT.A.1-A6</t>
  </si>
  <si>
    <t xml:space="preserve">Which shows 274 as hundreds, tens, and ones?</t>
  </si>
  <si>
    <t xml:space="preserve">2 hundreds, 7 tens, 4 ones</t>
  </si>
  <si>
    <t xml:space="preserve">2 hundreds, 4 tens, 7 ones</t>
  </si>
  <si>
    <t xml:space="preserve">27 tens, 4 ones</t>
  </si>
  <si>
    <t xml:space="preserve">Each digit names the count in its place.</t>
  </si>
  <si>
    <t xml:space="preserve">Swaps tens and ones; merges hundreds and tens.</t>
  </si>
  <si>
    <t xml:space="preserve">2.NBT.A.1-A7</t>
  </si>
  <si>
    <t xml:space="preserve">Decode game</t>
  </si>
  <si>
    <t xml:space="preserve">A vault leaves 6 hundreds, 2 tens, and 8 ones. What is the number?</t>
  </si>
  <si>
    <t xml:space="preserve">628</t>
  </si>
  <si>
    <t xml:space="preserve">682</t>
  </si>
  <si>
    <t xml:space="preserve">6208</t>
  </si>
  <si>
    <t xml:space="preserve">Read the evidence by place: 628.</t>
  </si>
  <si>
    <t xml:space="preserve">Swaps tens and ones (682); concatenates (6208).</t>
  </si>
  <si>
    <t xml:space="preserve">2.NBT.A.1-A8</t>
  </si>
  <si>
    <t xml:space="preserve">Mia says the 4 in 472 is worth 4. Explain her mistake and tell what it is really worth.</t>
  </si>
  <si>
    <t xml:space="preserve">Must state the 4 is in the hundreds place and is worth 400, not 4; value comes from place.</t>
  </si>
  <si>
    <t xml:space="preserve">Face-value error: judging a digit by its symbol, not its place.</t>
  </si>
  <si>
    <t xml:space="preserve">2.NBT.A.1-PT</t>
  </si>
  <si>
    <t xml:space="preserve">With base-ten blocks, build a three-digit number an adult names, then say what each digit is worth by its place.</t>
  </si>
  <si>
    <t xml:space="preserve">Proficient: builds the correct amount and names each digit value by place, including a zero place.</t>
  </si>
  <si>
    <t xml:space="preserve">Critical defect: naming a digit by its face value rather than its place.</t>
  </si>
  <si>
    <t xml:space="preserve">CAP-01 (2.NBT.A.1)</t>
  </si>
  <si>
    <t xml:space="preserve">G2-U1 / Capstone</t>
  </si>
  <si>
    <t xml:space="preserve">Mixed</t>
  </si>
  <si>
    <t xml:space="preserve">Capstone</t>
  </si>
  <si>
    <t xml:space="preserve">What is the value of the 7 in 472?</t>
  </si>
  <si>
    <t xml:space="preserve">7</t>
  </si>
  <si>
    <t xml:space="preserve">70</t>
  </si>
  <si>
    <t xml:space="preserve">700</t>
  </si>
  <si>
    <t xml:space="preserve">The 7 is in the tens place.</t>
  </si>
  <si>
    <t xml:space="preserve">Face value; over-count.</t>
  </si>
  <si>
    <t xml:space="preserve">CAP-02 (2.NBT.A.1)</t>
  </si>
  <si>
    <t xml:space="preserve">A number is 5 hundreds, 0 tens, and 8 ones. What is the number?</t>
  </si>
  <si>
    <t xml:space="preserve">58</t>
  </si>
  <si>
    <t xml:space="preserve">580</t>
  </si>
  <si>
    <t xml:space="preserve">A 0 holds the empty tens place.</t>
  </si>
  <si>
    <t xml:space="preserve">Dropped or misplaced zero.</t>
  </si>
  <si>
    <t xml:space="preserve">CAP-03 (2.NBT.A.2)</t>
  </si>
  <si>
    <t xml:space="preserve">Confuses tens with ones or hundreds.</t>
  </si>
  <si>
    <t xml:space="preserve">CAP-04 (2.NBT.A.2)</t>
  </si>
  <si>
    <t xml:space="preserve">10 tens make one ...</t>
  </si>
  <si>
    <t xml:space="preserve">hundred</t>
  </si>
  <si>
    <t xml:space="preserve">thousand</t>
  </si>
  <si>
    <t xml:space="preserve">Ten tens bundle into one hundred.</t>
  </si>
  <si>
    <t xml:space="preserve">Off by a place.</t>
  </si>
  <si>
    <t xml:space="preserve">CAP-05 (2.NBT.A.3)</t>
  </si>
  <si>
    <t xml:space="preserve">Count by tens: 480, 490 ... what comes next?</t>
  </si>
  <si>
    <t xml:space="preserve">491</t>
  </si>
  <si>
    <t xml:space="preserve">Counting on by ten crosses into a new hundred at 500.</t>
  </si>
  <si>
    <t xml:space="preserve">Added 1; added 100.</t>
  </si>
  <si>
    <t xml:space="preserve">CAP-06 (2.NBT.A.3)</t>
  </si>
  <si>
    <t xml:space="preserve">Count on by 1: 699 ... what comes next?</t>
  </si>
  <si>
    <t xml:space="preserve">6910</t>
  </si>
  <si>
    <t xml:space="preserve">610</t>
  </si>
  <si>
    <t xml:space="preserve">699 plus 1 rolls over to 700.</t>
  </si>
  <si>
    <t xml:space="preserve">Concatenation; backward.</t>
  </si>
  <si>
    <t xml:space="preserve">CAP-07 (2.NBT.A.4)</t>
  </si>
  <si>
    <t xml:space="preserve">Which is the expanded form of 364?</t>
  </si>
  <si>
    <t xml:space="preserve">3 + 6 + 4</t>
  </si>
  <si>
    <t xml:space="preserve">300 + 60 + 4</t>
  </si>
  <si>
    <t xml:space="preserve">300 + 6 + 4</t>
  </si>
  <si>
    <t xml:space="preserve">Each digit as the value of its place.</t>
  </si>
  <si>
    <t xml:space="preserve">Face value; undervalued place.</t>
  </si>
  <si>
    <t xml:space="preserve">CAP-08 (2.NBT.A.4)</t>
  </si>
  <si>
    <t xml:space="preserve">"Four hundred six" is which number?</t>
  </si>
  <si>
    <t xml:space="preserve">46</t>
  </si>
  <si>
    <t xml:space="preserve">406</t>
  </si>
  <si>
    <t xml:space="preserve">4006</t>
  </si>
  <si>
    <t xml:space="preserve">Dropped zero; concatenation.</t>
  </si>
  <si>
    <t xml:space="preserve">CAP-09 (2.NBT.A.5)</t>
  </si>
  <si>
    <t xml:space="preserve">Which symbol is correct? 627 ? 672</t>
  </si>
  <si>
    <t xml:space="preserve">Hundreds tie, tens decide: 2 tens &lt; 7 tens.</t>
  </si>
  <si>
    <t xml:space="preserve">Compared by ones or reversed.</t>
  </si>
  <si>
    <t xml:space="preserve">CAP-10 (2.NBT.A.5)</t>
  </si>
  <si>
    <t xml:space="preserve">Hundreds tie at 3, then 9 tens beats 0 tens; 93 has no hundreds.</t>
  </si>
  <si>
    <t xml:space="preserve">Compared by ones; chose a large single digit.</t>
  </si>
  <si>
    <t xml:space="preserve">Draft</t>
  </si>
  <si>
    <t xml:space="preserve">Review</t>
  </si>
  <si>
    <t xml:space="preserve">observed sign-off</t>
  </si>
  <si>
    <t xml:space="preserve">qualified evaluator</t>
  </si>
  <si>
    <t xml:space="preserve">Regulatory</t>
  </si>
  <si>
    <t xml:space="preserve">Strategic</t>
  </si>
  <si>
    <t xml:space="preserve">Retired</t>
  </si>
  <si>
    <t xml:space="preserve">Comparative</t>
  </si>
  <si>
    <t xml:space="preserve">Diagnostic</t>
  </si>
  <si>
    <t xml:space="preserve">System</t>
  </si>
  <si>
    <t xml:space="preserve">Analytical</t>
  </si>
  <si>
    <t xml:space="preserve">Interpersonal</t>
  </si>
  <si>
    <t xml:space="preserve">Reflective</t>
  </si>
  <si>
    <t xml:space="preserve">Historical</t>
  </si>
  <si>
    <t xml:space="preserve">Total items</t>
  </si>
  <si>
    <t xml:space="preserve">TOTAL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</si>
</sst>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11"/>
      <color rgb="FFFFFFFF"/>
      <name val="Arial"/>
      <family val="0"/>
      <charset val="1"/>
    </font>
    <font>
      <b val="true"/>
      <sz val="10"/>
      <color rgb="FF1F3864"/>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5F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E5496"/>
          <bgColor rgb="FF000000"/>
        </patternFill>
      </fill>
    </dxf>
    <dxf>
      <fill>
        <patternFill patternType="solid">
          <fgColor rgb="FFF2F5F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4"/>
  </cols>
  <sheetData>
    <row r="1" customFormat="false" ht="19.7" hidden="false" customHeight="false" outlineLevel="0" collapsed="false">
      <c r="A1" s="1" t="s">
        <v>0</v>
      </c>
      <c r="B1" s="1"/>
    </row>
    <row r="2" customFormat="false" ht="15" hidden="false" customHeight="true" outlineLevel="0" collapsed="false">
      <c r="A2" s="2" t="s">
        <v>1</v>
      </c>
      <c r="B2" s="2"/>
    </row>
    <row r="3" customFormat="false" ht="35.05" hidden="false" customHeight="false" outlineLevel="0" collapsed="false">
      <c r="A3" s="3" t="s">
        <v>2</v>
      </c>
      <c r="B3" s="4" t="s">
        <v>3</v>
      </c>
    </row>
    <row r="4" customFormat="false" ht="35.05" hidden="false" customHeight="false" outlineLevel="0" collapsed="false">
      <c r="A4" s="3" t="s">
        <v>4</v>
      </c>
      <c r="B4" s="4" t="s">
        <v>5</v>
      </c>
    </row>
    <row r="5" customFormat="false" ht="35.05" hidden="false" customHeight="false" outlineLevel="0" collapsed="false">
      <c r="A5" s="3" t="s">
        <v>6</v>
      </c>
      <c r="B5" s="4" t="s">
        <v>7</v>
      </c>
    </row>
    <row r="6" customFormat="false" ht="23.85" hidden="false" customHeight="false" outlineLevel="0" collapsed="false">
      <c r="A6" s="3" t="s">
        <v>8</v>
      </c>
      <c r="B6" s="4" t="s">
        <v>9</v>
      </c>
    </row>
    <row r="7" customFormat="false" ht="23.85" hidden="false" customHeight="false" outlineLevel="0" collapsed="false">
      <c r="A7" s="3" t="s">
        <v>10</v>
      </c>
      <c r="B7" s="4" t="s">
        <v>11</v>
      </c>
    </row>
    <row r="8" customFormat="false" ht="23.85" hidden="false" customHeight="false" outlineLevel="0" collapsed="false">
      <c r="A8" s="3" t="s">
        <v>12</v>
      </c>
      <c r="B8" s="4" t="s">
        <v>13</v>
      </c>
    </row>
    <row r="9" customFormat="false" ht="23.85" hidden="false" customHeight="false" outlineLevel="0" collapsed="false">
      <c r="A9" s="3" t="s">
        <v>14</v>
      </c>
      <c r="B9" s="4" t="s">
        <v>15</v>
      </c>
    </row>
    <row r="10" customFormat="false" ht="23.85" hidden="false" customHeight="false" outlineLevel="0" collapsed="false">
      <c r="A10" s="3" t="s">
        <v>16</v>
      </c>
      <c r="B10" s="4" t="s">
        <v>17</v>
      </c>
    </row>
    <row r="11" customFormat="false" ht="23.85" hidden="false" customHeight="false" outlineLevel="0" collapsed="false">
      <c r="A11" s="3" t="s">
        <v>18</v>
      </c>
      <c r="B11" s="4" t="s">
        <v>19</v>
      </c>
    </row>
    <row r="12" customFormat="false" ht="15" hidden="false" customHeight="false" outlineLevel="0" collapsed="false">
      <c r="A12" s="3" t="s">
        <v>20</v>
      </c>
      <c r="B12" s="4" t="s">
        <v>21</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
    <col collapsed="false" customWidth="true" hidden="false" outlineLevel="0" max="3" min="3" style="0" width="8"/>
    <col collapsed="false" customWidth="true" hidden="false" outlineLevel="0" max="4" min="4" style="0" width="70"/>
    <col collapsed="false" customWidth="true" hidden="false" outlineLevel="0" max="5" min="5" style="0" width="18"/>
    <col collapsed="false" customWidth="true" hidden="false" outlineLevel="0" max="6" min="6" style="0" width="34"/>
    <col collapsed="false" customWidth="true" hidden="false" outlineLevel="0" max="7" min="7" style="0" width="24"/>
    <col collapsed="false" customWidth="true" hidden="false" outlineLevel="0" max="8" min="8" style="0" width="12"/>
  </cols>
  <sheetData>
    <row r="1" customFormat="false" ht="23.85" hidden="false" customHeight="false" outlineLevel="0" collapsed="false">
      <c r="A1" s="5" t="s">
        <v>22</v>
      </c>
      <c r="B1" s="5" t="s">
        <v>23</v>
      </c>
      <c r="C1" s="5" t="s">
        <v>24</v>
      </c>
      <c r="D1" s="5" t="s">
        <v>25</v>
      </c>
      <c r="E1" s="5" t="s">
        <v>26</v>
      </c>
      <c r="F1" s="5" t="s">
        <v>27</v>
      </c>
      <c r="G1" s="5" t="s">
        <v>28</v>
      </c>
      <c r="H1" s="5" t="s">
        <v>29</v>
      </c>
    </row>
    <row r="2" customFormat="false" ht="23.85" hidden="false" customHeight="false" outlineLevel="0" collapsed="false">
      <c r="A2" s="6" t="s">
        <v>30</v>
      </c>
      <c r="B2" s="6" t="n">
        <v>2</v>
      </c>
      <c r="C2" s="6" t="s">
        <v>31</v>
      </c>
      <c r="D2" s="6" t="s">
        <v>32</v>
      </c>
      <c r="E2" s="6" t="s">
        <v>30</v>
      </c>
      <c r="F2" s="6" t="s">
        <v>33</v>
      </c>
      <c r="G2" s="6" t="s">
        <v>34</v>
      </c>
      <c r="H2" s="6" t="s">
        <v>35</v>
      </c>
    </row>
    <row r="3" customFormat="false" ht="23.85" hidden="false" customHeight="false" outlineLevel="0" collapsed="false">
      <c r="A3" s="4" t="s">
        <v>36</v>
      </c>
      <c r="B3" s="4" t="n">
        <v>2</v>
      </c>
      <c r="C3" s="4" t="s">
        <v>31</v>
      </c>
      <c r="D3" s="4" t="s">
        <v>37</v>
      </c>
      <c r="E3" s="4" t="s">
        <v>38</v>
      </c>
      <c r="F3" s="4" t="s">
        <v>33</v>
      </c>
      <c r="G3" s="4" t="s">
        <v>34</v>
      </c>
      <c r="H3" s="4" t="s">
        <v>35</v>
      </c>
    </row>
    <row r="4" customFormat="false" ht="23.85" hidden="false" customHeight="false" outlineLevel="0" collapsed="false">
      <c r="A4" s="6" t="s">
        <v>39</v>
      </c>
      <c r="B4" s="6" t="n">
        <v>2</v>
      </c>
      <c r="C4" s="6" t="s">
        <v>31</v>
      </c>
      <c r="D4" s="6" t="s">
        <v>40</v>
      </c>
      <c r="E4" s="6" t="s">
        <v>36</v>
      </c>
      <c r="F4" s="6" t="s">
        <v>33</v>
      </c>
      <c r="G4" s="6" t="s">
        <v>34</v>
      </c>
      <c r="H4" s="6" t="s">
        <v>41</v>
      </c>
    </row>
    <row r="5" customFormat="false" ht="23.85" hidden="false" customHeight="false" outlineLevel="0" collapsed="false">
      <c r="A5" s="4" t="s">
        <v>42</v>
      </c>
      <c r="B5" s="4" t="n">
        <v>2</v>
      </c>
      <c r="C5" s="4" t="s">
        <v>31</v>
      </c>
      <c r="D5" s="4" t="s">
        <v>43</v>
      </c>
      <c r="E5" s="4" t="s">
        <v>39</v>
      </c>
      <c r="F5" s="4" t="s">
        <v>33</v>
      </c>
      <c r="G5" s="4" t="s">
        <v>34</v>
      </c>
      <c r="H5" s="4" t="s">
        <v>35</v>
      </c>
    </row>
    <row r="6" customFormat="false" ht="23.85" hidden="false" customHeight="false" outlineLevel="0" collapsed="false">
      <c r="A6" s="6" t="s">
        <v>44</v>
      </c>
      <c r="B6" s="6" t="n">
        <v>2</v>
      </c>
      <c r="C6" s="6" t="s">
        <v>31</v>
      </c>
      <c r="D6" s="6" t="s">
        <v>45</v>
      </c>
      <c r="E6" s="6" t="s">
        <v>42</v>
      </c>
      <c r="F6" s="6" t="s">
        <v>33</v>
      </c>
      <c r="G6" s="6" t="s">
        <v>34</v>
      </c>
      <c r="H6" s="6"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6"/>
    <col collapsed="false" customWidth="true" hidden="false" outlineLevel="0" max="4" min="4" style="0" width="8"/>
    <col collapsed="false" customWidth="true" hidden="false" outlineLevel="0" max="5" min="5" style="0" width="24"/>
    <col collapsed="false" customWidth="true" hidden="false" outlineLevel="0" max="6" min="6" style="0" width="20"/>
    <col collapsed="false" customWidth="true" hidden="false" outlineLevel="0" max="9" min="7" style="0" width="12"/>
    <col collapsed="false" customWidth="true" hidden="false" outlineLevel="0" max="10" min="10" style="0" width="14"/>
    <col collapsed="false" customWidth="true" hidden="false" outlineLevel="0" max="11" min="11" style="0" width="50"/>
    <col collapsed="false" customWidth="true" hidden="false" outlineLevel="0" max="15" min="12" style="0" width="14"/>
    <col collapsed="false" customWidth="true" hidden="false" outlineLevel="0" max="16" min="16" style="0" width="16"/>
    <col collapsed="false" customWidth="true" hidden="false" outlineLevel="0" max="17" min="17" style="0" width="46"/>
    <col collapsed="false" customWidth="true" hidden="false" outlineLevel="0" max="18" min="18" style="0" width="40"/>
    <col collapsed="false" customWidth="true" hidden="false" outlineLevel="0" max="19" min="19" style="0" width="7"/>
    <col collapsed="false" customWidth="true" hidden="false" outlineLevel="0" max="21" min="20" style="0" width="16"/>
    <col collapsed="false" customWidth="true" hidden="false" outlineLevel="0" max="22" min="22" style="0" width="34"/>
    <col collapsed="false" customWidth="true" hidden="false" outlineLevel="0" max="23" min="23" style="0" width="10"/>
    <col collapsed="false" customWidth="true" hidden="false" outlineLevel="0" max="24" min="24" style="0" width="13"/>
  </cols>
  <sheetData>
    <row r="1" customFormat="false" ht="35.05" hidden="false" customHeight="false" outlineLevel="0" collapsed="false">
      <c r="A1" s="5" t="s">
        <v>46</v>
      </c>
      <c r="B1" s="5" t="s">
        <v>22</v>
      </c>
      <c r="C1" s="5" t="s">
        <v>23</v>
      </c>
      <c r="D1" s="5" t="s">
        <v>24</v>
      </c>
      <c r="E1" s="5" t="s">
        <v>28</v>
      </c>
      <c r="F1" s="5" t="s">
        <v>47</v>
      </c>
      <c r="G1" s="5" t="s">
        <v>29</v>
      </c>
      <c r="H1" s="5" t="s">
        <v>48</v>
      </c>
      <c r="I1" s="5" t="s">
        <v>49</v>
      </c>
      <c r="J1" s="5" t="s">
        <v>12</v>
      </c>
      <c r="K1" s="5" t="s">
        <v>50</v>
      </c>
      <c r="L1" s="5" t="s">
        <v>51</v>
      </c>
      <c r="M1" s="5" t="s">
        <v>52</v>
      </c>
      <c r="N1" s="5" t="s">
        <v>53</v>
      </c>
      <c r="O1" s="5" t="s">
        <v>54</v>
      </c>
      <c r="P1" s="5" t="s">
        <v>55</v>
      </c>
      <c r="Q1" s="5" t="s">
        <v>56</v>
      </c>
      <c r="R1" s="5" t="s">
        <v>57</v>
      </c>
      <c r="S1" s="5" t="s">
        <v>58</v>
      </c>
      <c r="T1" s="5" t="s">
        <v>10</v>
      </c>
      <c r="U1" s="5" t="s">
        <v>59</v>
      </c>
      <c r="V1" s="5" t="s">
        <v>60</v>
      </c>
      <c r="W1" s="5" t="s">
        <v>61</v>
      </c>
      <c r="X1" s="5" t="s">
        <v>20</v>
      </c>
    </row>
    <row r="2" customFormat="false" ht="35.05" hidden="false" customHeight="false" outlineLevel="0" collapsed="false">
      <c r="A2" s="6" t="s">
        <v>62</v>
      </c>
      <c r="B2" s="6" t="s">
        <v>36</v>
      </c>
      <c r="C2" s="6" t="n">
        <v>2</v>
      </c>
      <c r="D2" s="6" t="s">
        <v>31</v>
      </c>
      <c r="E2" s="6" t="s">
        <v>34</v>
      </c>
      <c r="F2" s="6" t="s">
        <v>63</v>
      </c>
      <c r="G2" s="6" t="s">
        <v>35</v>
      </c>
      <c r="H2" s="6" t="s">
        <v>64</v>
      </c>
      <c r="I2" s="6" t="s">
        <v>65</v>
      </c>
      <c r="J2" s="6" t="s">
        <v>66</v>
      </c>
      <c r="K2" s="6" t="s">
        <v>67</v>
      </c>
      <c r="L2" s="6" t="s">
        <v>68</v>
      </c>
      <c r="M2" s="6" t="s">
        <v>69</v>
      </c>
      <c r="N2" s="6" t="s">
        <v>70</v>
      </c>
      <c r="O2" s="6" t="s">
        <v>71</v>
      </c>
      <c r="P2" s="6" t="s">
        <v>72</v>
      </c>
      <c r="Q2" s="6" t="s">
        <v>73</v>
      </c>
      <c r="R2" s="6" t="s">
        <v>74</v>
      </c>
      <c r="S2" s="6" t="n">
        <v>1</v>
      </c>
      <c r="T2" s="6" t="s">
        <v>75</v>
      </c>
      <c r="U2" s="6" t="s">
        <v>76</v>
      </c>
      <c r="V2" s="6" t="s">
        <v>77</v>
      </c>
      <c r="W2" s="6" t="s">
        <v>78</v>
      </c>
      <c r="X2" s="6" t="s">
        <v>21</v>
      </c>
    </row>
    <row r="3" customFormat="false" ht="35.05" hidden="false" customHeight="false" outlineLevel="0" collapsed="false">
      <c r="A3" s="4" t="s">
        <v>79</v>
      </c>
      <c r="B3" s="4" t="s">
        <v>36</v>
      </c>
      <c r="C3" s="4" t="n">
        <v>2</v>
      </c>
      <c r="D3" s="4" t="s">
        <v>31</v>
      </c>
      <c r="E3" s="4" t="s">
        <v>34</v>
      </c>
      <c r="F3" s="4" t="s">
        <v>63</v>
      </c>
      <c r="G3" s="4" t="s">
        <v>35</v>
      </c>
      <c r="H3" s="4" t="s">
        <v>64</v>
      </c>
      <c r="I3" s="4" t="s">
        <v>80</v>
      </c>
      <c r="J3" s="4" t="s">
        <v>66</v>
      </c>
      <c r="K3" s="4" t="s">
        <v>81</v>
      </c>
      <c r="L3" s="4" t="s">
        <v>82</v>
      </c>
      <c r="M3" s="4" t="s">
        <v>70</v>
      </c>
      <c r="N3" s="4" t="s">
        <v>68</v>
      </c>
      <c r="O3" s="4" t="s">
        <v>71</v>
      </c>
      <c r="P3" s="4" t="s">
        <v>68</v>
      </c>
      <c r="Q3" s="4" t="s">
        <v>83</v>
      </c>
      <c r="R3" s="4" t="s">
        <v>84</v>
      </c>
      <c r="S3" s="4" t="n">
        <v>1</v>
      </c>
      <c r="T3" s="4" t="s">
        <v>75</v>
      </c>
      <c r="U3" s="4" t="s">
        <v>76</v>
      </c>
      <c r="V3" s="4" t="s">
        <v>77</v>
      </c>
      <c r="W3" s="4" t="s">
        <v>78</v>
      </c>
      <c r="X3" s="4" t="s">
        <v>21</v>
      </c>
    </row>
    <row r="4" customFormat="false" ht="35.05" hidden="false" customHeight="false" outlineLevel="0" collapsed="false">
      <c r="A4" s="6" t="s">
        <v>85</v>
      </c>
      <c r="B4" s="6" t="s">
        <v>36</v>
      </c>
      <c r="C4" s="6" t="n">
        <v>2</v>
      </c>
      <c r="D4" s="6" t="s">
        <v>31</v>
      </c>
      <c r="E4" s="6" t="s">
        <v>34</v>
      </c>
      <c r="F4" s="6" t="s">
        <v>63</v>
      </c>
      <c r="G4" s="6" t="s">
        <v>35</v>
      </c>
      <c r="H4" s="6" t="s">
        <v>64</v>
      </c>
      <c r="I4" s="6" t="s">
        <v>80</v>
      </c>
      <c r="J4" s="6" t="s">
        <v>66</v>
      </c>
      <c r="K4" s="6" t="s">
        <v>86</v>
      </c>
      <c r="L4" s="6" t="s">
        <v>70</v>
      </c>
      <c r="M4" s="6" t="s">
        <v>68</v>
      </c>
      <c r="N4" s="6" t="s">
        <v>87</v>
      </c>
      <c r="O4" s="6" t="s">
        <v>71</v>
      </c>
      <c r="P4" s="6" t="s">
        <v>70</v>
      </c>
      <c r="Q4" s="6" t="s">
        <v>88</v>
      </c>
      <c r="R4" s="6" t="s">
        <v>89</v>
      </c>
      <c r="S4" s="6" t="n">
        <v>1</v>
      </c>
      <c r="T4" s="6" t="s">
        <v>75</v>
      </c>
      <c r="U4" s="6" t="s">
        <v>76</v>
      </c>
      <c r="V4" s="6" t="s">
        <v>77</v>
      </c>
      <c r="W4" s="6" t="s">
        <v>78</v>
      </c>
      <c r="X4" s="6" t="s">
        <v>21</v>
      </c>
    </row>
    <row r="5" customFormat="false" ht="35.05" hidden="false" customHeight="false" outlineLevel="0" collapsed="false">
      <c r="A5" s="4" t="s">
        <v>90</v>
      </c>
      <c r="B5" s="4" t="s">
        <v>36</v>
      </c>
      <c r="C5" s="4" t="n">
        <v>2</v>
      </c>
      <c r="D5" s="4" t="s">
        <v>31</v>
      </c>
      <c r="E5" s="4" t="s">
        <v>34</v>
      </c>
      <c r="F5" s="4" t="s">
        <v>63</v>
      </c>
      <c r="G5" s="4" t="s">
        <v>35</v>
      </c>
      <c r="H5" s="4" t="s">
        <v>64</v>
      </c>
      <c r="I5" s="4" t="s">
        <v>80</v>
      </c>
      <c r="J5" s="4" t="s">
        <v>66</v>
      </c>
      <c r="K5" s="4" t="s">
        <v>91</v>
      </c>
      <c r="L5" s="4" t="s">
        <v>92</v>
      </c>
      <c r="M5" s="4" t="s">
        <v>93</v>
      </c>
      <c r="N5" s="4" t="s">
        <v>94</v>
      </c>
      <c r="O5" s="4" t="s">
        <v>95</v>
      </c>
      <c r="P5" s="4" t="s">
        <v>94</v>
      </c>
      <c r="Q5" s="4" t="s">
        <v>96</v>
      </c>
      <c r="R5" s="4" t="s">
        <v>97</v>
      </c>
      <c r="S5" s="4" t="n">
        <v>1</v>
      </c>
      <c r="T5" s="4" t="s">
        <v>75</v>
      </c>
      <c r="U5" s="4" t="s">
        <v>76</v>
      </c>
      <c r="V5" s="4" t="s">
        <v>77</v>
      </c>
      <c r="W5" s="4" t="s">
        <v>78</v>
      </c>
      <c r="X5" s="4" t="s">
        <v>21</v>
      </c>
    </row>
    <row r="6" customFormat="false" ht="35.05" hidden="false" customHeight="false" outlineLevel="0" collapsed="false">
      <c r="A6" s="6" t="s">
        <v>98</v>
      </c>
      <c r="B6" s="6" t="s">
        <v>36</v>
      </c>
      <c r="C6" s="6" t="n">
        <v>2</v>
      </c>
      <c r="D6" s="6" t="s">
        <v>31</v>
      </c>
      <c r="E6" s="6" t="s">
        <v>34</v>
      </c>
      <c r="F6" s="6" t="s">
        <v>63</v>
      </c>
      <c r="G6" s="6" t="s">
        <v>35</v>
      </c>
      <c r="H6" s="6" t="s">
        <v>64</v>
      </c>
      <c r="I6" s="6" t="s">
        <v>80</v>
      </c>
      <c r="J6" s="6" t="s">
        <v>66</v>
      </c>
      <c r="K6" s="6" t="s">
        <v>99</v>
      </c>
      <c r="L6" s="6" t="s">
        <v>100</v>
      </c>
      <c r="M6" s="6" t="s">
        <v>101</v>
      </c>
      <c r="N6" s="6" t="s">
        <v>102</v>
      </c>
      <c r="O6" s="6" t="s">
        <v>103</v>
      </c>
      <c r="P6" s="6" t="s">
        <v>101</v>
      </c>
      <c r="Q6" s="6" t="s">
        <v>104</v>
      </c>
      <c r="R6" s="6" t="s">
        <v>105</v>
      </c>
      <c r="S6" s="6" t="n">
        <v>1</v>
      </c>
      <c r="T6" s="6" t="s">
        <v>75</v>
      </c>
      <c r="U6" s="6" t="s">
        <v>76</v>
      </c>
      <c r="V6" s="6" t="s">
        <v>77</v>
      </c>
      <c r="W6" s="6" t="s">
        <v>78</v>
      </c>
      <c r="X6" s="6" t="s">
        <v>21</v>
      </c>
    </row>
    <row r="7" customFormat="false" ht="35.05" hidden="false" customHeight="false" outlineLevel="0" collapsed="false">
      <c r="A7" s="4" t="s">
        <v>106</v>
      </c>
      <c r="B7" s="4" t="s">
        <v>36</v>
      </c>
      <c r="C7" s="4" t="n">
        <v>2</v>
      </c>
      <c r="D7" s="4" t="s">
        <v>31</v>
      </c>
      <c r="E7" s="4" t="s">
        <v>34</v>
      </c>
      <c r="F7" s="4" t="s">
        <v>63</v>
      </c>
      <c r="G7" s="4" t="s">
        <v>35</v>
      </c>
      <c r="H7" s="4" t="s">
        <v>64</v>
      </c>
      <c r="I7" s="4" t="s">
        <v>107</v>
      </c>
      <c r="J7" s="4" t="s">
        <v>66</v>
      </c>
      <c r="K7" s="4" t="s">
        <v>108</v>
      </c>
      <c r="L7" s="4" t="s">
        <v>70</v>
      </c>
      <c r="M7" s="4" t="s">
        <v>69</v>
      </c>
      <c r="N7" s="4" t="s">
        <v>82</v>
      </c>
      <c r="O7" s="4" t="s">
        <v>68</v>
      </c>
      <c r="P7" s="4" t="s">
        <v>68</v>
      </c>
      <c r="Q7" s="4" t="s">
        <v>109</v>
      </c>
      <c r="R7" s="4" t="s">
        <v>110</v>
      </c>
      <c r="S7" s="4" t="n">
        <v>1</v>
      </c>
      <c r="T7" s="4" t="s">
        <v>75</v>
      </c>
      <c r="U7" s="4" t="s">
        <v>76</v>
      </c>
      <c r="V7" s="4" t="s">
        <v>77</v>
      </c>
      <c r="W7" s="4" t="s">
        <v>78</v>
      </c>
      <c r="X7" s="4" t="s">
        <v>21</v>
      </c>
    </row>
    <row r="8" customFormat="false" ht="35.05" hidden="false" customHeight="false" outlineLevel="0" collapsed="false">
      <c r="A8" s="6" t="s">
        <v>111</v>
      </c>
      <c r="B8" s="6" t="s">
        <v>36</v>
      </c>
      <c r="C8" s="6" t="n">
        <v>2</v>
      </c>
      <c r="D8" s="6" t="s">
        <v>31</v>
      </c>
      <c r="E8" s="6" t="s">
        <v>34</v>
      </c>
      <c r="F8" s="6" t="s">
        <v>63</v>
      </c>
      <c r="G8" s="6" t="s">
        <v>35</v>
      </c>
      <c r="H8" s="6" t="s">
        <v>64</v>
      </c>
      <c r="I8" s="6" t="s">
        <v>107</v>
      </c>
      <c r="J8" s="6" t="s">
        <v>66</v>
      </c>
      <c r="K8" s="6" t="s">
        <v>112</v>
      </c>
      <c r="L8" s="6" t="s">
        <v>113</v>
      </c>
      <c r="M8" s="6" t="s">
        <v>114</v>
      </c>
      <c r="N8" s="6" t="s">
        <v>87</v>
      </c>
      <c r="O8" s="6" t="s">
        <v>68</v>
      </c>
      <c r="P8" s="6" t="s">
        <v>87</v>
      </c>
      <c r="Q8" s="6" t="s">
        <v>115</v>
      </c>
      <c r="R8" s="6" t="s">
        <v>116</v>
      </c>
      <c r="S8" s="6" t="n">
        <v>1</v>
      </c>
      <c r="T8" s="6" t="s">
        <v>75</v>
      </c>
      <c r="U8" s="6" t="s">
        <v>76</v>
      </c>
      <c r="V8" s="6" t="s">
        <v>77</v>
      </c>
      <c r="W8" s="6" t="s">
        <v>78</v>
      </c>
      <c r="X8" s="6" t="s">
        <v>21</v>
      </c>
    </row>
    <row r="9" customFormat="false" ht="35.05" hidden="false" customHeight="false" outlineLevel="0" collapsed="false">
      <c r="A9" s="4" t="s">
        <v>117</v>
      </c>
      <c r="B9" s="4" t="s">
        <v>36</v>
      </c>
      <c r="C9" s="4" t="n">
        <v>2</v>
      </c>
      <c r="D9" s="4" t="s">
        <v>31</v>
      </c>
      <c r="E9" s="4" t="s">
        <v>34</v>
      </c>
      <c r="F9" s="4" t="s">
        <v>63</v>
      </c>
      <c r="G9" s="4" t="s">
        <v>35</v>
      </c>
      <c r="H9" s="4" t="s">
        <v>64</v>
      </c>
      <c r="I9" s="4" t="s">
        <v>107</v>
      </c>
      <c r="J9" s="4" t="s">
        <v>66</v>
      </c>
      <c r="K9" s="4" t="s">
        <v>118</v>
      </c>
      <c r="L9" s="4" t="s">
        <v>119</v>
      </c>
      <c r="M9" s="4" t="s">
        <v>120</v>
      </c>
      <c r="N9" s="4" t="s">
        <v>121</v>
      </c>
      <c r="O9" s="4" t="s">
        <v>122</v>
      </c>
      <c r="P9" s="4" t="s">
        <v>119</v>
      </c>
      <c r="Q9" s="4" t="s">
        <v>123</v>
      </c>
      <c r="R9" s="4" t="s">
        <v>124</v>
      </c>
      <c r="S9" s="4" t="n">
        <v>1</v>
      </c>
      <c r="T9" s="4" t="s">
        <v>75</v>
      </c>
      <c r="U9" s="4" t="s">
        <v>76</v>
      </c>
      <c r="V9" s="4" t="s">
        <v>77</v>
      </c>
      <c r="W9" s="4" t="s">
        <v>78</v>
      </c>
      <c r="X9" s="4" t="s">
        <v>21</v>
      </c>
    </row>
    <row r="10" customFormat="false" ht="79.85" hidden="false" customHeight="false" outlineLevel="0" collapsed="false">
      <c r="A10" s="6" t="s">
        <v>125</v>
      </c>
      <c r="B10" s="6" t="s">
        <v>36</v>
      </c>
      <c r="C10" s="6" t="n">
        <v>2</v>
      </c>
      <c r="D10" s="6" t="s">
        <v>31</v>
      </c>
      <c r="E10" s="6" t="s">
        <v>34</v>
      </c>
      <c r="F10" s="6" t="s">
        <v>63</v>
      </c>
      <c r="G10" s="6" t="s">
        <v>35</v>
      </c>
      <c r="H10" s="6" t="s">
        <v>126</v>
      </c>
      <c r="I10" s="6" t="s">
        <v>127</v>
      </c>
      <c r="J10" s="6" t="s">
        <v>66</v>
      </c>
      <c r="K10" s="6" t="s">
        <v>128</v>
      </c>
      <c r="L10" s="6"/>
      <c r="M10" s="6"/>
      <c r="N10" s="6"/>
      <c r="O10" s="6"/>
      <c r="P10" s="6" t="s">
        <v>129</v>
      </c>
      <c r="Q10" s="6" t="s">
        <v>130</v>
      </c>
      <c r="R10" s="6"/>
      <c r="S10" s="6" t="n">
        <v>2</v>
      </c>
      <c r="T10" s="6" t="s">
        <v>131</v>
      </c>
      <c r="U10" s="6" t="s">
        <v>132</v>
      </c>
      <c r="V10" s="6" t="s">
        <v>77</v>
      </c>
      <c r="W10" s="6" t="s">
        <v>78</v>
      </c>
      <c r="X10" s="6" t="s">
        <v>21</v>
      </c>
    </row>
    <row r="11" customFormat="false" ht="35.05" hidden="false" customHeight="false" outlineLevel="0" collapsed="false">
      <c r="A11" s="4" t="s">
        <v>133</v>
      </c>
      <c r="B11" s="4" t="s">
        <v>36</v>
      </c>
      <c r="C11" s="4" t="n">
        <v>2</v>
      </c>
      <c r="D11" s="4" t="s">
        <v>31</v>
      </c>
      <c r="E11" s="4" t="s">
        <v>34</v>
      </c>
      <c r="F11" s="4" t="s">
        <v>63</v>
      </c>
      <c r="G11" s="4" t="s">
        <v>35</v>
      </c>
      <c r="H11" s="4" t="s">
        <v>64</v>
      </c>
      <c r="I11" s="4" t="s">
        <v>65</v>
      </c>
      <c r="J11" s="4" t="s">
        <v>134</v>
      </c>
      <c r="K11" s="4" t="s">
        <v>135</v>
      </c>
      <c r="L11" s="4" t="s">
        <v>68</v>
      </c>
      <c r="M11" s="4" t="s">
        <v>136</v>
      </c>
      <c r="N11" s="4" t="s">
        <v>70</v>
      </c>
      <c r="O11" s="4" t="s">
        <v>69</v>
      </c>
      <c r="P11" s="4" t="s">
        <v>68</v>
      </c>
      <c r="Q11" s="4" t="s">
        <v>137</v>
      </c>
      <c r="R11" s="4" t="s">
        <v>138</v>
      </c>
      <c r="S11" s="4" t="n">
        <v>1</v>
      </c>
      <c r="T11" s="4" t="s">
        <v>75</v>
      </c>
      <c r="U11" s="4" t="s">
        <v>76</v>
      </c>
      <c r="V11" s="4" t="s">
        <v>77</v>
      </c>
      <c r="W11" s="4" t="s">
        <v>78</v>
      </c>
      <c r="X11" s="4" t="s">
        <v>21</v>
      </c>
    </row>
    <row r="12" customFormat="false" ht="35.05" hidden="false" customHeight="false" outlineLevel="0" collapsed="false">
      <c r="A12" s="6" t="s">
        <v>139</v>
      </c>
      <c r="B12" s="6" t="s">
        <v>36</v>
      </c>
      <c r="C12" s="6" t="n">
        <v>2</v>
      </c>
      <c r="D12" s="6" t="s">
        <v>31</v>
      </c>
      <c r="E12" s="6" t="s">
        <v>34</v>
      </c>
      <c r="F12" s="6" t="s">
        <v>63</v>
      </c>
      <c r="G12" s="6" t="s">
        <v>35</v>
      </c>
      <c r="H12" s="6" t="s">
        <v>64</v>
      </c>
      <c r="I12" s="6" t="s">
        <v>80</v>
      </c>
      <c r="J12" s="6" t="s">
        <v>134</v>
      </c>
      <c r="K12" s="6" t="s">
        <v>140</v>
      </c>
      <c r="L12" s="6" t="s">
        <v>70</v>
      </c>
      <c r="M12" s="6" t="s">
        <v>68</v>
      </c>
      <c r="N12" s="6" t="s">
        <v>82</v>
      </c>
      <c r="O12" s="6" t="s">
        <v>71</v>
      </c>
      <c r="P12" s="6" t="s">
        <v>68</v>
      </c>
      <c r="Q12" s="6" t="s">
        <v>141</v>
      </c>
      <c r="R12" s="6" t="s">
        <v>142</v>
      </c>
      <c r="S12" s="6" t="n">
        <v>1</v>
      </c>
      <c r="T12" s="6" t="s">
        <v>75</v>
      </c>
      <c r="U12" s="6" t="s">
        <v>76</v>
      </c>
      <c r="V12" s="6" t="s">
        <v>77</v>
      </c>
      <c r="W12" s="6" t="s">
        <v>78</v>
      </c>
      <c r="X12" s="6" t="s">
        <v>21</v>
      </c>
    </row>
    <row r="13" customFormat="false" ht="35.05" hidden="false" customHeight="false" outlineLevel="0" collapsed="false">
      <c r="A13" s="4" t="s">
        <v>143</v>
      </c>
      <c r="B13" s="4" t="s">
        <v>36</v>
      </c>
      <c r="C13" s="4" t="n">
        <v>2</v>
      </c>
      <c r="D13" s="4" t="s">
        <v>31</v>
      </c>
      <c r="E13" s="4" t="s">
        <v>34</v>
      </c>
      <c r="F13" s="4" t="s">
        <v>63</v>
      </c>
      <c r="G13" s="4" t="s">
        <v>35</v>
      </c>
      <c r="H13" s="4" t="s">
        <v>64</v>
      </c>
      <c r="I13" s="4" t="s">
        <v>80</v>
      </c>
      <c r="J13" s="4" t="s">
        <v>134</v>
      </c>
      <c r="K13" s="4" t="s">
        <v>144</v>
      </c>
      <c r="L13" s="4" t="s">
        <v>68</v>
      </c>
      <c r="M13" s="4" t="s">
        <v>71</v>
      </c>
      <c r="N13" s="4" t="s">
        <v>70</v>
      </c>
      <c r="O13" s="4" t="s">
        <v>145</v>
      </c>
      <c r="P13" s="4" t="s">
        <v>70</v>
      </c>
      <c r="Q13" s="4" t="s">
        <v>146</v>
      </c>
      <c r="R13" s="4" t="s">
        <v>147</v>
      </c>
      <c r="S13" s="4" t="n">
        <v>1</v>
      </c>
      <c r="T13" s="4" t="s">
        <v>75</v>
      </c>
      <c r="U13" s="4" t="s">
        <v>76</v>
      </c>
      <c r="V13" s="4" t="s">
        <v>77</v>
      </c>
      <c r="W13" s="4" t="s">
        <v>78</v>
      </c>
      <c r="X13" s="4" t="s">
        <v>21</v>
      </c>
    </row>
    <row r="14" customFormat="false" ht="35.05" hidden="false" customHeight="false" outlineLevel="0" collapsed="false">
      <c r="A14" s="6" t="s">
        <v>148</v>
      </c>
      <c r="B14" s="6" t="s">
        <v>36</v>
      </c>
      <c r="C14" s="6" t="n">
        <v>2</v>
      </c>
      <c r="D14" s="6" t="s">
        <v>31</v>
      </c>
      <c r="E14" s="6" t="s">
        <v>34</v>
      </c>
      <c r="F14" s="6" t="s">
        <v>63</v>
      </c>
      <c r="G14" s="6" t="s">
        <v>35</v>
      </c>
      <c r="H14" s="6" t="s">
        <v>64</v>
      </c>
      <c r="I14" s="6" t="s">
        <v>80</v>
      </c>
      <c r="J14" s="6" t="s">
        <v>134</v>
      </c>
      <c r="K14" s="6" t="s">
        <v>91</v>
      </c>
      <c r="L14" s="6" t="s">
        <v>94</v>
      </c>
      <c r="M14" s="6" t="s">
        <v>92</v>
      </c>
      <c r="N14" s="6" t="s">
        <v>93</v>
      </c>
      <c r="O14" s="6" t="s">
        <v>149</v>
      </c>
      <c r="P14" s="6" t="s">
        <v>94</v>
      </c>
      <c r="Q14" s="6" t="s">
        <v>141</v>
      </c>
      <c r="R14" s="6" t="s">
        <v>150</v>
      </c>
      <c r="S14" s="6" t="n">
        <v>1</v>
      </c>
      <c r="T14" s="6" t="s">
        <v>75</v>
      </c>
      <c r="U14" s="6" t="s">
        <v>76</v>
      </c>
      <c r="V14" s="6" t="s">
        <v>77</v>
      </c>
      <c r="W14" s="6" t="s">
        <v>78</v>
      </c>
      <c r="X14" s="6" t="s">
        <v>21</v>
      </c>
    </row>
    <row r="15" customFormat="false" ht="35.05" hidden="false" customHeight="false" outlineLevel="0" collapsed="false">
      <c r="A15" s="4" t="s">
        <v>151</v>
      </c>
      <c r="B15" s="4" t="s">
        <v>36</v>
      </c>
      <c r="C15" s="4" t="n">
        <v>2</v>
      </c>
      <c r="D15" s="4" t="s">
        <v>31</v>
      </c>
      <c r="E15" s="4" t="s">
        <v>34</v>
      </c>
      <c r="F15" s="4" t="s">
        <v>63</v>
      </c>
      <c r="G15" s="4" t="s">
        <v>35</v>
      </c>
      <c r="H15" s="4" t="s">
        <v>64</v>
      </c>
      <c r="I15" s="4" t="s">
        <v>80</v>
      </c>
      <c r="J15" s="4" t="s">
        <v>134</v>
      </c>
      <c r="K15" s="4" t="s">
        <v>152</v>
      </c>
      <c r="L15" s="4" t="s">
        <v>103</v>
      </c>
      <c r="M15" s="4" t="s">
        <v>102</v>
      </c>
      <c r="N15" s="4" t="s">
        <v>101</v>
      </c>
      <c r="O15" s="4" t="s">
        <v>100</v>
      </c>
      <c r="P15" s="4" t="s">
        <v>101</v>
      </c>
      <c r="Q15" s="4" t="s">
        <v>153</v>
      </c>
      <c r="R15" s="4" t="s">
        <v>154</v>
      </c>
      <c r="S15" s="4" t="n">
        <v>1</v>
      </c>
      <c r="T15" s="4" t="s">
        <v>75</v>
      </c>
      <c r="U15" s="4" t="s">
        <v>76</v>
      </c>
      <c r="V15" s="4" t="s">
        <v>77</v>
      </c>
      <c r="W15" s="4" t="s">
        <v>78</v>
      </c>
      <c r="X15" s="4" t="s">
        <v>21</v>
      </c>
    </row>
    <row r="16" customFormat="false" ht="35.05" hidden="false" customHeight="false" outlineLevel="0" collapsed="false">
      <c r="A16" s="6" t="s">
        <v>155</v>
      </c>
      <c r="B16" s="6" t="s">
        <v>36</v>
      </c>
      <c r="C16" s="6" t="n">
        <v>2</v>
      </c>
      <c r="D16" s="6" t="s">
        <v>31</v>
      </c>
      <c r="E16" s="6" t="s">
        <v>34</v>
      </c>
      <c r="F16" s="6" t="s">
        <v>63</v>
      </c>
      <c r="G16" s="6" t="s">
        <v>35</v>
      </c>
      <c r="H16" s="6" t="s">
        <v>64</v>
      </c>
      <c r="I16" s="6" t="s">
        <v>107</v>
      </c>
      <c r="J16" s="6" t="s">
        <v>134</v>
      </c>
      <c r="K16" s="6" t="s">
        <v>156</v>
      </c>
      <c r="L16" s="6" t="s">
        <v>68</v>
      </c>
      <c r="M16" s="6" t="s">
        <v>82</v>
      </c>
      <c r="N16" s="6" t="s">
        <v>70</v>
      </c>
      <c r="O16" s="6" t="s">
        <v>87</v>
      </c>
      <c r="P16" s="6" t="s">
        <v>68</v>
      </c>
      <c r="Q16" s="6" t="s">
        <v>141</v>
      </c>
      <c r="R16" s="6" t="s">
        <v>157</v>
      </c>
      <c r="S16" s="6" t="n">
        <v>1</v>
      </c>
      <c r="T16" s="6" t="s">
        <v>75</v>
      </c>
      <c r="U16" s="6" t="s">
        <v>76</v>
      </c>
      <c r="V16" s="6" t="s">
        <v>77</v>
      </c>
      <c r="W16" s="6" t="s">
        <v>78</v>
      </c>
      <c r="X16" s="6" t="s">
        <v>21</v>
      </c>
    </row>
    <row r="17" customFormat="false" ht="35.05" hidden="false" customHeight="false" outlineLevel="0" collapsed="false">
      <c r="A17" s="4" t="s">
        <v>158</v>
      </c>
      <c r="B17" s="4" t="s">
        <v>36</v>
      </c>
      <c r="C17" s="4" t="n">
        <v>2</v>
      </c>
      <c r="D17" s="4" t="s">
        <v>31</v>
      </c>
      <c r="E17" s="4" t="s">
        <v>34</v>
      </c>
      <c r="F17" s="4" t="s">
        <v>63</v>
      </c>
      <c r="G17" s="4" t="s">
        <v>35</v>
      </c>
      <c r="H17" s="4" t="s">
        <v>64</v>
      </c>
      <c r="I17" s="4" t="s">
        <v>107</v>
      </c>
      <c r="J17" s="4" t="s">
        <v>134</v>
      </c>
      <c r="K17" s="4" t="s">
        <v>159</v>
      </c>
      <c r="L17" s="4" t="s">
        <v>160</v>
      </c>
      <c r="M17" s="4" t="s">
        <v>161</v>
      </c>
      <c r="N17" s="4" t="s">
        <v>162</v>
      </c>
      <c r="O17" s="4" t="s">
        <v>68</v>
      </c>
      <c r="P17" s="4" t="s">
        <v>161</v>
      </c>
      <c r="Q17" s="4" t="s">
        <v>163</v>
      </c>
      <c r="R17" s="4" t="s">
        <v>164</v>
      </c>
      <c r="S17" s="4" t="n">
        <v>1</v>
      </c>
      <c r="T17" s="4" t="s">
        <v>75</v>
      </c>
      <c r="U17" s="4" t="s">
        <v>76</v>
      </c>
      <c r="V17" s="4" t="s">
        <v>77</v>
      </c>
      <c r="W17" s="4" t="s">
        <v>78</v>
      </c>
      <c r="X17" s="4" t="s">
        <v>21</v>
      </c>
    </row>
    <row r="18" customFormat="false" ht="35.05" hidden="false" customHeight="false" outlineLevel="0" collapsed="false">
      <c r="A18" s="6" t="s">
        <v>165</v>
      </c>
      <c r="B18" s="6" t="s">
        <v>36</v>
      </c>
      <c r="C18" s="6" t="n">
        <v>2</v>
      </c>
      <c r="D18" s="6" t="s">
        <v>31</v>
      </c>
      <c r="E18" s="6" t="s">
        <v>34</v>
      </c>
      <c r="F18" s="6" t="s">
        <v>63</v>
      </c>
      <c r="G18" s="6" t="s">
        <v>35</v>
      </c>
      <c r="H18" s="6" t="s">
        <v>64</v>
      </c>
      <c r="I18" s="6" t="s">
        <v>107</v>
      </c>
      <c r="J18" s="6" t="s">
        <v>134</v>
      </c>
      <c r="K18" s="6" t="s">
        <v>166</v>
      </c>
      <c r="L18" s="6" t="s">
        <v>167</v>
      </c>
      <c r="M18" s="6" t="s">
        <v>168</v>
      </c>
      <c r="N18" s="6" t="s">
        <v>169</v>
      </c>
      <c r="O18" s="6" t="s">
        <v>170</v>
      </c>
      <c r="P18" s="6" t="s">
        <v>168</v>
      </c>
      <c r="Q18" s="6" t="s">
        <v>171</v>
      </c>
      <c r="R18" s="6" t="s">
        <v>172</v>
      </c>
      <c r="S18" s="6" t="n">
        <v>1</v>
      </c>
      <c r="T18" s="6" t="s">
        <v>75</v>
      </c>
      <c r="U18" s="6" t="s">
        <v>76</v>
      </c>
      <c r="V18" s="6" t="s">
        <v>77</v>
      </c>
      <c r="W18" s="6" t="s">
        <v>78</v>
      </c>
      <c r="X18" s="6" t="s">
        <v>21</v>
      </c>
    </row>
    <row r="19" customFormat="false" ht="79.85" hidden="false" customHeight="false" outlineLevel="0" collapsed="false">
      <c r="A19" s="4" t="s">
        <v>173</v>
      </c>
      <c r="B19" s="4" t="s">
        <v>36</v>
      </c>
      <c r="C19" s="4" t="n">
        <v>2</v>
      </c>
      <c r="D19" s="4" t="s">
        <v>31</v>
      </c>
      <c r="E19" s="4" t="s">
        <v>34</v>
      </c>
      <c r="F19" s="4" t="s">
        <v>63</v>
      </c>
      <c r="G19" s="4" t="s">
        <v>35</v>
      </c>
      <c r="H19" s="4" t="s">
        <v>126</v>
      </c>
      <c r="I19" s="4" t="s">
        <v>127</v>
      </c>
      <c r="J19" s="4" t="s">
        <v>134</v>
      </c>
      <c r="K19" s="4" t="s">
        <v>174</v>
      </c>
      <c r="L19" s="4"/>
      <c r="M19" s="4"/>
      <c r="N19" s="4"/>
      <c r="O19" s="4"/>
      <c r="P19" s="4" t="s">
        <v>175</v>
      </c>
      <c r="Q19" s="4" t="s">
        <v>176</v>
      </c>
      <c r="R19" s="4"/>
      <c r="S19" s="4" t="n">
        <v>2</v>
      </c>
      <c r="T19" s="4" t="s">
        <v>131</v>
      </c>
      <c r="U19" s="4" t="s">
        <v>132</v>
      </c>
      <c r="V19" s="4" t="s">
        <v>77</v>
      </c>
      <c r="W19" s="4" t="s">
        <v>78</v>
      </c>
      <c r="X19" s="4" t="s">
        <v>21</v>
      </c>
    </row>
    <row r="20" customFormat="false" ht="35.05" hidden="false" customHeight="false" outlineLevel="0" collapsed="false">
      <c r="A20" s="6" t="s">
        <v>177</v>
      </c>
      <c r="B20" s="6" t="s">
        <v>39</v>
      </c>
      <c r="C20" s="6" t="n">
        <v>2</v>
      </c>
      <c r="D20" s="6" t="s">
        <v>31</v>
      </c>
      <c r="E20" s="6" t="s">
        <v>34</v>
      </c>
      <c r="F20" s="6" t="s">
        <v>178</v>
      </c>
      <c r="G20" s="6" t="s">
        <v>41</v>
      </c>
      <c r="H20" s="6" t="s">
        <v>64</v>
      </c>
      <c r="I20" s="6" t="s">
        <v>65</v>
      </c>
      <c r="J20" s="6" t="s">
        <v>66</v>
      </c>
      <c r="K20" s="6" t="s">
        <v>179</v>
      </c>
      <c r="L20" s="6" t="s">
        <v>180</v>
      </c>
      <c r="M20" s="6" t="s">
        <v>181</v>
      </c>
      <c r="N20" s="6" t="s">
        <v>182</v>
      </c>
      <c r="O20" s="6" t="s">
        <v>183</v>
      </c>
      <c r="P20" s="6" t="s">
        <v>180</v>
      </c>
      <c r="Q20" s="6" t="s">
        <v>184</v>
      </c>
      <c r="R20" s="6" t="s">
        <v>185</v>
      </c>
      <c r="S20" s="6" t="n">
        <v>1</v>
      </c>
      <c r="T20" s="6" t="s">
        <v>75</v>
      </c>
      <c r="U20" s="6" t="s">
        <v>76</v>
      </c>
      <c r="V20" s="6" t="s">
        <v>77</v>
      </c>
      <c r="W20" s="6" t="s">
        <v>78</v>
      </c>
      <c r="X20" s="6" t="s">
        <v>21</v>
      </c>
    </row>
    <row r="21" customFormat="false" ht="35.05" hidden="false" customHeight="false" outlineLevel="0" collapsed="false">
      <c r="A21" s="4" t="s">
        <v>186</v>
      </c>
      <c r="B21" s="4" t="s">
        <v>39</v>
      </c>
      <c r="C21" s="4" t="n">
        <v>2</v>
      </c>
      <c r="D21" s="4" t="s">
        <v>31</v>
      </c>
      <c r="E21" s="4" t="s">
        <v>34</v>
      </c>
      <c r="F21" s="4" t="s">
        <v>178</v>
      </c>
      <c r="G21" s="4" t="s">
        <v>41</v>
      </c>
      <c r="H21" s="4" t="s">
        <v>64</v>
      </c>
      <c r="I21" s="4" t="s">
        <v>80</v>
      </c>
      <c r="J21" s="4" t="s">
        <v>66</v>
      </c>
      <c r="K21" s="4" t="s">
        <v>187</v>
      </c>
      <c r="L21" s="4" t="s">
        <v>188</v>
      </c>
      <c r="M21" s="4" t="s">
        <v>189</v>
      </c>
      <c r="N21" s="4" t="s">
        <v>190</v>
      </c>
      <c r="O21" s="4" t="s">
        <v>191</v>
      </c>
      <c r="P21" s="4" t="s">
        <v>189</v>
      </c>
      <c r="Q21" s="4" t="s">
        <v>192</v>
      </c>
      <c r="R21" s="4" t="s">
        <v>193</v>
      </c>
      <c r="S21" s="4" t="n">
        <v>1</v>
      </c>
      <c r="T21" s="4" t="s">
        <v>75</v>
      </c>
      <c r="U21" s="4" t="s">
        <v>76</v>
      </c>
      <c r="V21" s="4" t="s">
        <v>77</v>
      </c>
      <c r="W21" s="4" t="s">
        <v>78</v>
      </c>
      <c r="X21" s="4" t="s">
        <v>21</v>
      </c>
    </row>
    <row r="22" customFormat="false" ht="35.05" hidden="false" customHeight="false" outlineLevel="0" collapsed="false">
      <c r="A22" s="6" t="s">
        <v>194</v>
      </c>
      <c r="B22" s="6" t="s">
        <v>39</v>
      </c>
      <c r="C22" s="6" t="n">
        <v>2</v>
      </c>
      <c r="D22" s="6" t="s">
        <v>31</v>
      </c>
      <c r="E22" s="6" t="s">
        <v>34</v>
      </c>
      <c r="F22" s="6" t="s">
        <v>178</v>
      </c>
      <c r="G22" s="6" t="s">
        <v>41</v>
      </c>
      <c r="H22" s="6" t="s">
        <v>64</v>
      </c>
      <c r="I22" s="6" t="s">
        <v>80</v>
      </c>
      <c r="J22" s="6" t="s">
        <v>66</v>
      </c>
      <c r="K22" s="6" t="s">
        <v>195</v>
      </c>
      <c r="L22" s="6" t="s">
        <v>196</v>
      </c>
      <c r="M22" s="6" t="s">
        <v>197</v>
      </c>
      <c r="N22" s="6" t="s">
        <v>198</v>
      </c>
      <c r="O22" s="6" t="s">
        <v>199</v>
      </c>
      <c r="P22" s="6" t="s">
        <v>198</v>
      </c>
      <c r="Q22" s="6" t="s">
        <v>200</v>
      </c>
      <c r="R22" s="6" t="s">
        <v>201</v>
      </c>
      <c r="S22" s="6" t="n">
        <v>1</v>
      </c>
      <c r="T22" s="6" t="s">
        <v>75</v>
      </c>
      <c r="U22" s="6" t="s">
        <v>76</v>
      </c>
      <c r="V22" s="6" t="s">
        <v>77</v>
      </c>
      <c r="W22" s="6" t="s">
        <v>78</v>
      </c>
      <c r="X22" s="6" t="s">
        <v>21</v>
      </c>
    </row>
    <row r="23" customFormat="false" ht="35.05" hidden="false" customHeight="false" outlineLevel="0" collapsed="false">
      <c r="A23" s="4" t="s">
        <v>202</v>
      </c>
      <c r="B23" s="4" t="s">
        <v>39</v>
      </c>
      <c r="C23" s="4" t="n">
        <v>2</v>
      </c>
      <c r="D23" s="4" t="s">
        <v>31</v>
      </c>
      <c r="E23" s="4" t="s">
        <v>34</v>
      </c>
      <c r="F23" s="4" t="s">
        <v>178</v>
      </c>
      <c r="G23" s="4" t="s">
        <v>41</v>
      </c>
      <c r="H23" s="4" t="s">
        <v>64</v>
      </c>
      <c r="I23" s="4" t="s">
        <v>107</v>
      </c>
      <c r="J23" s="4" t="s">
        <v>66</v>
      </c>
      <c r="K23" s="4" t="s">
        <v>203</v>
      </c>
      <c r="L23" s="4" t="s">
        <v>204</v>
      </c>
      <c r="M23" s="4" t="s">
        <v>205</v>
      </c>
      <c r="N23" s="4" t="s">
        <v>206</v>
      </c>
      <c r="O23" s="4" t="s">
        <v>207</v>
      </c>
      <c r="P23" s="4" t="s">
        <v>207</v>
      </c>
      <c r="Q23" s="4" t="s">
        <v>208</v>
      </c>
      <c r="R23" s="4" t="s">
        <v>209</v>
      </c>
      <c r="S23" s="4" t="n">
        <v>1</v>
      </c>
      <c r="T23" s="4" t="s">
        <v>75</v>
      </c>
      <c r="U23" s="4" t="s">
        <v>76</v>
      </c>
      <c r="V23" s="4" t="s">
        <v>77</v>
      </c>
      <c r="W23" s="4" t="s">
        <v>78</v>
      </c>
      <c r="X23" s="4" t="s">
        <v>21</v>
      </c>
    </row>
    <row r="24" customFormat="false" ht="35.05" hidden="false" customHeight="false" outlineLevel="0" collapsed="false">
      <c r="A24" s="6" t="s">
        <v>210</v>
      </c>
      <c r="B24" s="6" t="s">
        <v>39</v>
      </c>
      <c r="C24" s="6" t="n">
        <v>2</v>
      </c>
      <c r="D24" s="6" t="s">
        <v>31</v>
      </c>
      <c r="E24" s="6" t="s">
        <v>34</v>
      </c>
      <c r="F24" s="6" t="s">
        <v>178</v>
      </c>
      <c r="G24" s="6" t="s">
        <v>41</v>
      </c>
      <c r="H24" s="6" t="s">
        <v>64</v>
      </c>
      <c r="I24" s="6" t="s">
        <v>107</v>
      </c>
      <c r="J24" s="6" t="s">
        <v>66</v>
      </c>
      <c r="K24" s="6" t="s">
        <v>211</v>
      </c>
      <c r="L24" s="6" t="s">
        <v>114</v>
      </c>
      <c r="M24" s="6" t="s">
        <v>212</v>
      </c>
      <c r="N24" s="6" t="s">
        <v>213</v>
      </c>
      <c r="O24" s="6" t="s">
        <v>70</v>
      </c>
      <c r="P24" s="6" t="s">
        <v>114</v>
      </c>
      <c r="Q24" s="6" t="s">
        <v>214</v>
      </c>
      <c r="R24" s="6" t="s">
        <v>215</v>
      </c>
      <c r="S24" s="6" t="n">
        <v>1</v>
      </c>
      <c r="T24" s="6" t="s">
        <v>75</v>
      </c>
      <c r="U24" s="6" t="s">
        <v>76</v>
      </c>
      <c r="V24" s="6" t="s">
        <v>77</v>
      </c>
      <c r="W24" s="6" t="s">
        <v>78</v>
      </c>
      <c r="X24" s="6" t="s">
        <v>21</v>
      </c>
    </row>
    <row r="25" customFormat="false" ht="35.05" hidden="false" customHeight="false" outlineLevel="0" collapsed="false">
      <c r="A25" s="4" t="s">
        <v>216</v>
      </c>
      <c r="B25" s="4" t="s">
        <v>39</v>
      </c>
      <c r="C25" s="4" t="n">
        <v>2</v>
      </c>
      <c r="D25" s="4" t="s">
        <v>31</v>
      </c>
      <c r="E25" s="4" t="s">
        <v>34</v>
      </c>
      <c r="F25" s="4" t="s">
        <v>178</v>
      </c>
      <c r="G25" s="4" t="s">
        <v>41</v>
      </c>
      <c r="H25" s="4" t="s">
        <v>64</v>
      </c>
      <c r="I25" s="4" t="s">
        <v>107</v>
      </c>
      <c r="J25" s="4" t="s">
        <v>66</v>
      </c>
      <c r="K25" s="4" t="s">
        <v>217</v>
      </c>
      <c r="L25" s="4" t="s">
        <v>218</v>
      </c>
      <c r="M25" s="4" t="s">
        <v>219</v>
      </c>
      <c r="N25" s="4" t="s">
        <v>220</v>
      </c>
      <c r="O25" s="4" t="s">
        <v>221</v>
      </c>
      <c r="P25" s="4" t="s">
        <v>219</v>
      </c>
      <c r="Q25" s="4" t="s">
        <v>222</v>
      </c>
      <c r="R25" s="4" t="s">
        <v>223</v>
      </c>
      <c r="S25" s="4" t="n">
        <v>1</v>
      </c>
      <c r="T25" s="4" t="s">
        <v>75</v>
      </c>
      <c r="U25" s="4" t="s">
        <v>76</v>
      </c>
      <c r="V25" s="4" t="s">
        <v>77</v>
      </c>
      <c r="W25" s="4" t="s">
        <v>78</v>
      </c>
      <c r="X25" s="4" t="s">
        <v>21</v>
      </c>
    </row>
    <row r="26" customFormat="false" ht="35.05" hidden="false" customHeight="false" outlineLevel="0" collapsed="false">
      <c r="A26" s="6" t="s">
        <v>224</v>
      </c>
      <c r="B26" s="6" t="s">
        <v>39</v>
      </c>
      <c r="C26" s="6" t="n">
        <v>2</v>
      </c>
      <c r="D26" s="6" t="s">
        <v>31</v>
      </c>
      <c r="E26" s="6" t="s">
        <v>34</v>
      </c>
      <c r="F26" s="6" t="s">
        <v>178</v>
      </c>
      <c r="G26" s="6" t="s">
        <v>41</v>
      </c>
      <c r="H26" s="6" t="s">
        <v>64</v>
      </c>
      <c r="I26" s="6" t="s">
        <v>107</v>
      </c>
      <c r="J26" s="6" t="s">
        <v>66</v>
      </c>
      <c r="K26" s="6" t="s">
        <v>225</v>
      </c>
      <c r="L26" s="6" t="s">
        <v>226</v>
      </c>
      <c r="M26" s="6" t="s">
        <v>227</v>
      </c>
      <c r="N26" s="6" t="s">
        <v>228</v>
      </c>
      <c r="O26" s="6" t="s">
        <v>229</v>
      </c>
      <c r="P26" s="6" t="s">
        <v>228</v>
      </c>
      <c r="Q26" s="6" t="s">
        <v>230</v>
      </c>
      <c r="R26" s="6" t="s">
        <v>231</v>
      </c>
      <c r="S26" s="6" t="n">
        <v>1</v>
      </c>
      <c r="T26" s="6" t="s">
        <v>75</v>
      </c>
      <c r="U26" s="6" t="s">
        <v>76</v>
      </c>
      <c r="V26" s="6" t="s">
        <v>77</v>
      </c>
      <c r="W26" s="6" t="s">
        <v>78</v>
      </c>
      <c r="X26" s="6" t="s">
        <v>21</v>
      </c>
    </row>
    <row r="27" customFormat="false" ht="35.05" hidden="false" customHeight="false" outlineLevel="0" collapsed="false">
      <c r="A27" s="4" t="s">
        <v>232</v>
      </c>
      <c r="B27" s="4" t="s">
        <v>39</v>
      </c>
      <c r="C27" s="4" t="n">
        <v>2</v>
      </c>
      <c r="D27" s="4" t="s">
        <v>31</v>
      </c>
      <c r="E27" s="4" t="s">
        <v>34</v>
      </c>
      <c r="F27" s="4" t="s">
        <v>178</v>
      </c>
      <c r="G27" s="4" t="s">
        <v>41</v>
      </c>
      <c r="H27" s="4" t="s">
        <v>64</v>
      </c>
      <c r="I27" s="4" t="s">
        <v>107</v>
      </c>
      <c r="J27" s="4" t="s">
        <v>66</v>
      </c>
      <c r="K27" s="4" t="s">
        <v>233</v>
      </c>
      <c r="L27" s="4" t="s">
        <v>234</v>
      </c>
      <c r="M27" s="4" t="s">
        <v>235</v>
      </c>
      <c r="N27" s="4" t="s">
        <v>236</v>
      </c>
      <c r="O27" s="4" t="s">
        <v>237</v>
      </c>
      <c r="P27" s="4" t="s">
        <v>237</v>
      </c>
      <c r="Q27" s="4" t="s">
        <v>238</v>
      </c>
      <c r="R27" s="4" t="s">
        <v>239</v>
      </c>
      <c r="S27" s="4" t="n">
        <v>1</v>
      </c>
      <c r="T27" s="4" t="s">
        <v>75</v>
      </c>
      <c r="U27" s="4" t="s">
        <v>76</v>
      </c>
      <c r="V27" s="4" t="s">
        <v>77</v>
      </c>
      <c r="W27" s="4" t="s">
        <v>78</v>
      </c>
      <c r="X27" s="4" t="s">
        <v>21</v>
      </c>
    </row>
    <row r="28" customFormat="false" ht="102.2" hidden="false" customHeight="false" outlineLevel="0" collapsed="false">
      <c r="A28" s="6" t="s">
        <v>240</v>
      </c>
      <c r="B28" s="6" t="s">
        <v>39</v>
      </c>
      <c r="C28" s="6" t="n">
        <v>2</v>
      </c>
      <c r="D28" s="6" t="s">
        <v>31</v>
      </c>
      <c r="E28" s="6" t="s">
        <v>34</v>
      </c>
      <c r="F28" s="6" t="s">
        <v>178</v>
      </c>
      <c r="G28" s="6" t="s">
        <v>41</v>
      </c>
      <c r="H28" s="6" t="s">
        <v>126</v>
      </c>
      <c r="I28" s="6" t="s">
        <v>127</v>
      </c>
      <c r="J28" s="6" t="s">
        <v>66</v>
      </c>
      <c r="K28" s="6" t="s">
        <v>241</v>
      </c>
      <c r="L28" s="6"/>
      <c r="M28" s="6"/>
      <c r="N28" s="6"/>
      <c r="O28" s="6"/>
      <c r="P28" s="6" t="s">
        <v>242</v>
      </c>
      <c r="Q28" s="6" t="s">
        <v>243</v>
      </c>
      <c r="R28" s="6"/>
      <c r="S28" s="6" t="n">
        <v>2</v>
      </c>
      <c r="T28" s="6" t="s">
        <v>131</v>
      </c>
      <c r="U28" s="6" t="s">
        <v>132</v>
      </c>
      <c r="V28" s="6" t="s">
        <v>77</v>
      </c>
      <c r="W28" s="6" t="s">
        <v>78</v>
      </c>
      <c r="X28" s="6" t="s">
        <v>21</v>
      </c>
    </row>
    <row r="29" customFormat="false" ht="35.05" hidden="false" customHeight="false" outlineLevel="0" collapsed="false">
      <c r="A29" s="4" t="s">
        <v>244</v>
      </c>
      <c r="B29" s="4" t="s">
        <v>39</v>
      </c>
      <c r="C29" s="4" t="n">
        <v>2</v>
      </c>
      <c r="D29" s="4" t="s">
        <v>31</v>
      </c>
      <c r="E29" s="4" t="s">
        <v>34</v>
      </c>
      <c r="F29" s="4" t="s">
        <v>178</v>
      </c>
      <c r="G29" s="4" t="s">
        <v>41</v>
      </c>
      <c r="H29" s="4" t="s">
        <v>64</v>
      </c>
      <c r="I29" s="4" t="s">
        <v>65</v>
      </c>
      <c r="J29" s="4" t="s">
        <v>134</v>
      </c>
      <c r="K29" s="4" t="s">
        <v>245</v>
      </c>
      <c r="L29" s="4" t="s">
        <v>246</v>
      </c>
      <c r="M29" s="4" t="s">
        <v>247</v>
      </c>
      <c r="N29" s="4" t="s">
        <v>248</v>
      </c>
      <c r="O29" s="4" t="s">
        <v>249</v>
      </c>
      <c r="P29" s="4" t="s">
        <v>246</v>
      </c>
      <c r="Q29" s="4" t="s">
        <v>184</v>
      </c>
      <c r="R29" s="4" t="s">
        <v>138</v>
      </c>
      <c r="S29" s="4" t="n">
        <v>1</v>
      </c>
      <c r="T29" s="4" t="s">
        <v>75</v>
      </c>
      <c r="U29" s="4" t="s">
        <v>76</v>
      </c>
      <c r="V29" s="4" t="s">
        <v>77</v>
      </c>
      <c r="W29" s="4" t="s">
        <v>78</v>
      </c>
      <c r="X29" s="4" t="s">
        <v>21</v>
      </c>
    </row>
    <row r="30" customFormat="false" ht="35.05" hidden="false" customHeight="false" outlineLevel="0" collapsed="false">
      <c r="A30" s="6" t="s">
        <v>250</v>
      </c>
      <c r="B30" s="6" t="s">
        <v>39</v>
      </c>
      <c r="C30" s="6" t="n">
        <v>2</v>
      </c>
      <c r="D30" s="6" t="s">
        <v>31</v>
      </c>
      <c r="E30" s="6" t="s">
        <v>34</v>
      </c>
      <c r="F30" s="6" t="s">
        <v>178</v>
      </c>
      <c r="G30" s="6" t="s">
        <v>41</v>
      </c>
      <c r="H30" s="6" t="s">
        <v>64</v>
      </c>
      <c r="I30" s="6" t="s">
        <v>80</v>
      </c>
      <c r="J30" s="6" t="s">
        <v>134</v>
      </c>
      <c r="K30" s="6" t="s">
        <v>251</v>
      </c>
      <c r="L30" s="6" t="s">
        <v>188</v>
      </c>
      <c r="M30" s="6" t="s">
        <v>190</v>
      </c>
      <c r="N30" s="6" t="s">
        <v>189</v>
      </c>
      <c r="O30" s="6" t="s">
        <v>191</v>
      </c>
      <c r="P30" s="6" t="s">
        <v>190</v>
      </c>
      <c r="Q30" s="6" t="s">
        <v>252</v>
      </c>
      <c r="R30" s="6" t="s">
        <v>142</v>
      </c>
      <c r="S30" s="6" t="n">
        <v>1</v>
      </c>
      <c r="T30" s="6" t="s">
        <v>75</v>
      </c>
      <c r="U30" s="6" t="s">
        <v>76</v>
      </c>
      <c r="V30" s="6" t="s">
        <v>77</v>
      </c>
      <c r="W30" s="6" t="s">
        <v>78</v>
      </c>
      <c r="X30" s="6" t="s">
        <v>21</v>
      </c>
    </row>
    <row r="31" customFormat="false" ht="35.05" hidden="false" customHeight="false" outlineLevel="0" collapsed="false">
      <c r="A31" s="4" t="s">
        <v>253</v>
      </c>
      <c r="B31" s="4" t="s">
        <v>39</v>
      </c>
      <c r="C31" s="4" t="n">
        <v>2</v>
      </c>
      <c r="D31" s="4" t="s">
        <v>31</v>
      </c>
      <c r="E31" s="4" t="s">
        <v>34</v>
      </c>
      <c r="F31" s="4" t="s">
        <v>178</v>
      </c>
      <c r="G31" s="4" t="s">
        <v>41</v>
      </c>
      <c r="H31" s="4" t="s">
        <v>64</v>
      </c>
      <c r="I31" s="4" t="s">
        <v>80</v>
      </c>
      <c r="J31" s="4" t="s">
        <v>134</v>
      </c>
      <c r="K31" s="4" t="s">
        <v>254</v>
      </c>
      <c r="L31" s="4" t="s">
        <v>255</v>
      </c>
      <c r="M31" s="4" t="s">
        <v>256</v>
      </c>
      <c r="N31" s="4" t="s">
        <v>257</v>
      </c>
      <c r="O31" s="4" t="s">
        <v>258</v>
      </c>
      <c r="P31" s="4" t="s">
        <v>257</v>
      </c>
      <c r="Q31" s="4" t="s">
        <v>259</v>
      </c>
      <c r="R31" s="4" t="s">
        <v>147</v>
      </c>
      <c r="S31" s="4" t="n">
        <v>1</v>
      </c>
      <c r="T31" s="4" t="s">
        <v>75</v>
      </c>
      <c r="U31" s="4" t="s">
        <v>76</v>
      </c>
      <c r="V31" s="4" t="s">
        <v>77</v>
      </c>
      <c r="W31" s="4" t="s">
        <v>78</v>
      </c>
      <c r="X31" s="4" t="s">
        <v>21</v>
      </c>
    </row>
    <row r="32" customFormat="false" ht="35.05" hidden="false" customHeight="false" outlineLevel="0" collapsed="false">
      <c r="A32" s="6" t="s">
        <v>260</v>
      </c>
      <c r="B32" s="6" t="s">
        <v>39</v>
      </c>
      <c r="C32" s="6" t="n">
        <v>2</v>
      </c>
      <c r="D32" s="6" t="s">
        <v>31</v>
      </c>
      <c r="E32" s="6" t="s">
        <v>34</v>
      </c>
      <c r="F32" s="6" t="s">
        <v>178</v>
      </c>
      <c r="G32" s="6" t="s">
        <v>41</v>
      </c>
      <c r="H32" s="6" t="s">
        <v>64</v>
      </c>
      <c r="I32" s="6" t="s">
        <v>107</v>
      </c>
      <c r="J32" s="6" t="s">
        <v>134</v>
      </c>
      <c r="K32" s="6" t="s">
        <v>261</v>
      </c>
      <c r="L32" s="6" t="s">
        <v>262</v>
      </c>
      <c r="M32" s="6" t="s">
        <v>263</v>
      </c>
      <c r="N32" s="6" t="s">
        <v>264</v>
      </c>
      <c r="O32" s="6" t="s">
        <v>265</v>
      </c>
      <c r="P32" s="6" t="s">
        <v>265</v>
      </c>
      <c r="Q32" s="6" t="s">
        <v>266</v>
      </c>
      <c r="R32" s="6" t="s">
        <v>150</v>
      </c>
      <c r="S32" s="6" t="n">
        <v>1</v>
      </c>
      <c r="T32" s="6" t="s">
        <v>75</v>
      </c>
      <c r="U32" s="6" t="s">
        <v>76</v>
      </c>
      <c r="V32" s="6" t="s">
        <v>77</v>
      </c>
      <c r="W32" s="6" t="s">
        <v>78</v>
      </c>
      <c r="X32" s="6" t="s">
        <v>21</v>
      </c>
    </row>
    <row r="33" customFormat="false" ht="35.05" hidden="false" customHeight="false" outlineLevel="0" collapsed="false">
      <c r="A33" s="4" t="s">
        <v>267</v>
      </c>
      <c r="B33" s="4" t="s">
        <v>39</v>
      </c>
      <c r="C33" s="4" t="n">
        <v>2</v>
      </c>
      <c r="D33" s="4" t="s">
        <v>31</v>
      </c>
      <c r="E33" s="4" t="s">
        <v>34</v>
      </c>
      <c r="F33" s="4" t="s">
        <v>178</v>
      </c>
      <c r="G33" s="4" t="s">
        <v>41</v>
      </c>
      <c r="H33" s="4" t="s">
        <v>64</v>
      </c>
      <c r="I33" s="4" t="s">
        <v>107</v>
      </c>
      <c r="J33" s="4" t="s">
        <v>134</v>
      </c>
      <c r="K33" s="4" t="s">
        <v>268</v>
      </c>
      <c r="L33" s="4" t="s">
        <v>228</v>
      </c>
      <c r="M33" s="4" t="s">
        <v>269</v>
      </c>
      <c r="N33" s="4" t="s">
        <v>270</v>
      </c>
      <c r="O33" s="4" t="s">
        <v>271</v>
      </c>
      <c r="P33" s="4" t="s">
        <v>228</v>
      </c>
      <c r="Q33" s="4" t="s">
        <v>272</v>
      </c>
      <c r="R33" s="4" t="s">
        <v>154</v>
      </c>
      <c r="S33" s="4" t="n">
        <v>1</v>
      </c>
      <c r="T33" s="4" t="s">
        <v>75</v>
      </c>
      <c r="U33" s="4" t="s">
        <v>76</v>
      </c>
      <c r="V33" s="4" t="s">
        <v>77</v>
      </c>
      <c r="W33" s="4" t="s">
        <v>78</v>
      </c>
      <c r="X33" s="4" t="s">
        <v>21</v>
      </c>
    </row>
    <row r="34" customFormat="false" ht="35.05" hidden="false" customHeight="false" outlineLevel="0" collapsed="false">
      <c r="A34" s="6" t="s">
        <v>273</v>
      </c>
      <c r="B34" s="6" t="s">
        <v>39</v>
      </c>
      <c r="C34" s="6" t="n">
        <v>2</v>
      </c>
      <c r="D34" s="6" t="s">
        <v>31</v>
      </c>
      <c r="E34" s="6" t="s">
        <v>34</v>
      </c>
      <c r="F34" s="6" t="s">
        <v>178</v>
      </c>
      <c r="G34" s="6" t="s">
        <v>41</v>
      </c>
      <c r="H34" s="6" t="s">
        <v>64</v>
      </c>
      <c r="I34" s="6" t="s">
        <v>107</v>
      </c>
      <c r="J34" s="6" t="s">
        <v>134</v>
      </c>
      <c r="K34" s="6" t="s">
        <v>274</v>
      </c>
      <c r="L34" s="6" t="s">
        <v>275</v>
      </c>
      <c r="M34" s="6" t="s">
        <v>276</v>
      </c>
      <c r="N34" s="6" t="s">
        <v>277</v>
      </c>
      <c r="O34" s="6" t="s">
        <v>278</v>
      </c>
      <c r="P34" s="6" t="s">
        <v>276</v>
      </c>
      <c r="Q34" s="6" t="s">
        <v>222</v>
      </c>
      <c r="R34" s="6" t="s">
        <v>157</v>
      </c>
      <c r="S34" s="6" t="n">
        <v>1</v>
      </c>
      <c r="T34" s="6" t="s">
        <v>75</v>
      </c>
      <c r="U34" s="6" t="s">
        <v>76</v>
      </c>
      <c r="V34" s="6" t="s">
        <v>77</v>
      </c>
      <c r="W34" s="6" t="s">
        <v>78</v>
      </c>
      <c r="X34" s="6" t="s">
        <v>21</v>
      </c>
    </row>
    <row r="35" customFormat="false" ht="35.05" hidden="false" customHeight="false" outlineLevel="0" collapsed="false">
      <c r="A35" s="4" t="s">
        <v>279</v>
      </c>
      <c r="B35" s="4" t="s">
        <v>39</v>
      </c>
      <c r="C35" s="4" t="n">
        <v>2</v>
      </c>
      <c r="D35" s="4" t="s">
        <v>31</v>
      </c>
      <c r="E35" s="4" t="s">
        <v>34</v>
      </c>
      <c r="F35" s="4" t="s">
        <v>178</v>
      </c>
      <c r="G35" s="4" t="s">
        <v>41</v>
      </c>
      <c r="H35" s="4" t="s">
        <v>64</v>
      </c>
      <c r="I35" s="4" t="s">
        <v>107</v>
      </c>
      <c r="J35" s="4" t="s">
        <v>134</v>
      </c>
      <c r="K35" s="4" t="s">
        <v>280</v>
      </c>
      <c r="L35" s="4" t="s">
        <v>281</v>
      </c>
      <c r="M35" s="4" t="s">
        <v>282</v>
      </c>
      <c r="N35" s="4" t="s">
        <v>228</v>
      </c>
      <c r="O35" s="4" t="s">
        <v>283</v>
      </c>
      <c r="P35" s="4" t="s">
        <v>228</v>
      </c>
      <c r="Q35" s="4" t="s">
        <v>284</v>
      </c>
      <c r="R35" s="4" t="s">
        <v>164</v>
      </c>
      <c r="S35" s="4" t="n">
        <v>1</v>
      </c>
      <c r="T35" s="4" t="s">
        <v>75</v>
      </c>
      <c r="U35" s="4" t="s">
        <v>76</v>
      </c>
      <c r="V35" s="4" t="s">
        <v>77</v>
      </c>
      <c r="W35" s="4" t="s">
        <v>78</v>
      </c>
      <c r="X35" s="4" t="s">
        <v>21</v>
      </c>
    </row>
    <row r="36" customFormat="false" ht="35.05" hidden="false" customHeight="false" outlineLevel="0" collapsed="false">
      <c r="A36" s="6" t="s">
        <v>285</v>
      </c>
      <c r="B36" s="6" t="s">
        <v>39</v>
      </c>
      <c r="C36" s="6" t="n">
        <v>2</v>
      </c>
      <c r="D36" s="6" t="s">
        <v>31</v>
      </c>
      <c r="E36" s="6" t="s">
        <v>34</v>
      </c>
      <c r="F36" s="6" t="s">
        <v>178</v>
      </c>
      <c r="G36" s="6" t="s">
        <v>41</v>
      </c>
      <c r="H36" s="6" t="s">
        <v>64</v>
      </c>
      <c r="I36" s="6" t="s">
        <v>107</v>
      </c>
      <c r="J36" s="6" t="s">
        <v>134</v>
      </c>
      <c r="K36" s="6" t="s">
        <v>286</v>
      </c>
      <c r="L36" s="6" t="s">
        <v>287</v>
      </c>
      <c r="M36" s="6" t="s">
        <v>288</v>
      </c>
      <c r="N36" s="6" t="s">
        <v>289</v>
      </c>
      <c r="O36" s="6" t="s">
        <v>290</v>
      </c>
      <c r="P36" s="6" t="s">
        <v>290</v>
      </c>
      <c r="Q36" s="6" t="s">
        <v>291</v>
      </c>
      <c r="R36" s="6" t="s">
        <v>172</v>
      </c>
      <c r="S36" s="6" t="n">
        <v>1</v>
      </c>
      <c r="T36" s="6" t="s">
        <v>75</v>
      </c>
      <c r="U36" s="6" t="s">
        <v>76</v>
      </c>
      <c r="V36" s="6" t="s">
        <v>77</v>
      </c>
      <c r="W36" s="6" t="s">
        <v>78</v>
      </c>
      <c r="X36" s="6" t="s">
        <v>21</v>
      </c>
    </row>
    <row r="37" customFormat="false" ht="79.85" hidden="false" customHeight="false" outlineLevel="0" collapsed="false">
      <c r="A37" s="4" t="s">
        <v>292</v>
      </c>
      <c r="B37" s="4" t="s">
        <v>39</v>
      </c>
      <c r="C37" s="4" t="n">
        <v>2</v>
      </c>
      <c r="D37" s="4" t="s">
        <v>31</v>
      </c>
      <c r="E37" s="4" t="s">
        <v>34</v>
      </c>
      <c r="F37" s="4" t="s">
        <v>178</v>
      </c>
      <c r="G37" s="4" t="s">
        <v>41</v>
      </c>
      <c r="H37" s="4" t="s">
        <v>126</v>
      </c>
      <c r="I37" s="4" t="s">
        <v>127</v>
      </c>
      <c r="J37" s="4" t="s">
        <v>134</v>
      </c>
      <c r="K37" s="4" t="s">
        <v>293</v>
      </c>
      <c r="L37" s="4"/>
      <c r="M37" s="4"/>
      <c r="N37" s="4"/>
      <c r="O37" s="4"/>
      <c r="P37" s="4" t="s">
        <v>294</v>
      </c>
      <c r="Q37" s="4" t="s">
        <v>176</v>
      </c>
      <c r="R37" s="4"/>
      <c r="S37" s="4" t="n">
        <v>2</v>
      </c>
      <c r="T37" s="4" t="s">
        <v>131</v>
      </c>
      <c r="U37" s="4" t="s">
        <v>132</v>
      </c>
      <c r="V37" s="4" t="s">
        <v>77</v>
      </c>
      <c r="W37" s="4" t="s">
        <v>78</v>
      </c>
      <c r="X37" s="4" t="s">
        <v>21</v>
      </c>
    </row>
    <row r="38" customFormat="false" ht="35.05" hidden="false" customHeight="false" outlineLevel="0" collapsed="false">
      <c r="A38" s="6" t="s">
        <v>295</v>
      </c>
      <c r="B38" s="6" t="s">
        <v>42</v>
      </c>
      <c r="C38" s="6" t="n">
        <v>2</v>
      </c>
      <c r="D38" s="6" t="s">
        <v>31</v>
      </c>
      <c r="E38" s="6" t="s">
        <v>34</v>
      </c>
      <c r="F38" s="6" t="s">
        <v>296</v>
      </c>
      <c r="G38" s="6" t="s">
        <v>35</v>
      </c>
      <c r="H38" s="6" t="s">
        <v>64</v>
      </c>
      <c r="I38" s="6" t="s">
        <v>80</v>
      </c>
      <c r="J38" s="6" t="s">
        <v>66</v>
      </c>
      <c r="K38" s="6" t="s">
        <v>297</v>
      </c>
      <c r="L38" s="6" t="s">
        <v>298</v>
      </c>
      <c r="M38" s="6" t="s">
        <v>299</v>
      </c>
      <c r="N38" s="6" t="s">
        <v>300</v>
      </c>
      <c r="O38" s="6" t="s">
        <v>301</v>
      </c>
      <c r="P38" s="6" t="s">
        <v>298</v>
      </c>
      <c r="Q38" s="6" t="s">
        <v>302</v>
      </c>
      <c r="R38" s="6" t="s">
        <v>303</v>
      </c>
      <c r="S38" s="6" t="n">
        <v>1</v>
      </c>
      <c r="T38" s="6" t="s">
        <v>75</v>
      </c>
      <c r="U38" s="6" t="s">
        <v>76</v>
      </c>
      <c r="V38" s="6" t="s">
        <v>77</v>
      </c>
      <c r="W38" s="6" t="s">
        <v>78</v>
      </c>
      <c r="X38" s="6" t="s">
        <v>21</v>
      </c>
    </row>
    <row r="39" customFormat="false" ht="35.05" hidden="false" customHeight="false" outlineLevel="0" collapsed="false">
      <c r="A39" s="4" t="s">
        <v>304</v>
      </c>
      <c r="B39" s="4" t="s">
        <v>42</v>
      </c>
      <c r="C39" s="4" t="n">
        <v>2</v>
      </c>
      <c r="D39" s="4" t="s">
        <v>31</v>
      </c>
      <c r="E39" s="4" t="s">
        <v>34</v>
      </c>
      <c r="F39" s="4" t="s">
        <v>296</v>
      </c>
      <c r="G39" s="4" t="s">
        <v>35</v>
      </c>
      <c r="H39" s="4" t="s">
        <v>64</v>
      </c>
      <c r="I39" s="4" t="s">
        <v>80</v>
      </c>
      <c r="J39" s="4" t="s">
        <v>66</v>
      </c>
      <c r="K39" s="4" t="s">
        <v>305</v>
      </c>
      <c r="L39" s="4" t="s">
        <v>306</v>
      </c>
      <c r="M39" s="4" t="s">
        <v>181</v>
      </c>
      <c r="N39" s="4" t="s">
        <v>307</v>
      </c>
      <c r="O39" s="4" t="s">
        <v>308</v>
      </c>
      <c r="P39" s="4" t="s">
        <v>181</v>
      </c>
      <c r="Q39" s="4" t="s">
        <v>309</v>
      </c>
      <c r="R39" s="4" t="s">
        <v>310</v>
      </c>
      <c r="S39" s="4" t="n">
        <v>1</v>
      </c>
      <c r="T39" s="4" t="s">
        <v>75</v>
      </c>
      <c r="U39" s="4" t="s">
        <v>76</v>
      </c>
      <c r="V39" s="4" t="s">
        <v>77</v>
      </c>
      <c r="W39" s="4" t="s">
        <v>78</v>
      </c>
      <c r="X39" s="4" t="s">
        <v>21</v>
      </c>
    </row>
    <row r="40" customFormat="false" ht="35.05" hidden="false" customHeight="false" outlineLevel="0" collapsed="false">
      <c r="A40" s="6" t="s">
        <v>311</v>
      </c>
      <c r="B40" s="6" t="s">
        <v>42</v>
      </c>
      <c r="C40" s="6" t="n">
        <v>2</v>
      </c>
      <c r="D40" s="6" t="s">
        <v>31</v>
      </c>
      <c r="E40" s="6" t="s">
        <v>34</v>
      </c>
      <c r="F40" s="6" t="s">
        <v>296</v>
      </c>
      <c r="G40" s="6" t="s">
        <v>35</v>
      </c>
      <c r="H40" s="6" t="s">
        <v>64</v>
      </c>
      <c r="I40" s="6" t="s">
        <v>107</v>
      </c>
      <c r="J40" s="6" t="s">
        <v>66</v>
      </c>
      <c r="K40" s="6" t="s">
        <v>312</v>
      </c>
      <c r="L40" s="6" t="s">
        <v>313</v>
      </c>
      <c r="M40" s="6" t="s">
        <v>314</v>
      </c>
      <c r="N40" s="6" t="s">
        <v>315</v>
      </c>
      <c r="O40" s="6" t="s">
        <v>316</v>
      </c>
      <c r="P40" s="6" t="s">
        <v>315</v>
      </c>
      <c r="Q40" s="6" t="s">
        <v>317</v>
      </c>
      <c r="R40" s="6" t="s">
        <v>318</v>
      </c>
      <c r="S40" s="6" t="n">
        <v>1</v>
      </c>
      <c r="T40" s="6" t="s">
        <v>75</v>
      </c>
      <c r="U40" s="6" t="s">
        <v>76</v>
      </c>
      <c r="V40" s="6" t="s">
        <v>77</v>
      </c>
      <c r="W40" s="6" t="s">
        <v>78</v>
      </c>
      <c r="X40" s="6" t="s">
        <v>21</v>
      </c>
    </row>
    <row r="41" customFormat="false" ht="35.05" hidden="false" customHeight="false" outlineLevel="0" collapsed="false">
      <c r="A41" s="4" t="s">
        <v>319</v>
      </c>
      <c r="B41" s="4" t="s">
        <v>42</v>
      </c>
      <c r="C41" s="4" t="n">
        <v>2</v>
      </c>
      <c r="D41" s="4" t="s">
        <v>31</v>
      </c>
      <c r="E41" s="4" t="s">
        <v>34</v>
      </c>
      <c r="F41" s="4" t="s">
        <v>296</v>
      </c>
      <c r="G41" s="4" t="s">
        <v>35</v>
      </c>
      <c r="H41" s="4" t="s">
        <v>64</v>
      </c>
      <c r="I41" s="4" t="s">
        <v>80</v>
      </c>
      <c r="J41" s="4" t="s">
        <v>66</v>
      </c>
      <c r="K41" s="4" t="s">
        <v>320</v>
      </c>
      <c r="L41" s="4" t="s">
        <v>321</v>
      </c>
      <c r="M41" s="4" t="s">
        <v>322</v>
      </c>
      <c r="N41" s="4" t="s">
        <v>323</v>
      </c>
      <c r="O41" s="4" t="s">
        <v>324</v>
      </c>
      <c r="P41" s="4" t="s">
        <v>324</v>
      </c>
      <c r="Q41" s="4" t="s">
        <v>325</v>
      </c>
      <c r="R41" s="4" t="s">
        <v>326</v>
      </c>
      <c r="S41" s="4" t="n">
        <v>1</v>
      </c>
      <c r="T41" s="4" t="s">
        <v>75</v>
      </c>
      <c r="U41" s="4" t="s">
        <v>76</v>
      </c>
      <c r="V41" s="4" t="s">
        <v>77</v>
      </c>
      <c r="W41" s="4" t="s">
        <v>78</v>
      </c>
      <c r="X41" s="4" t="s">
        <v>21</v>
      </c>
    </row>
    <row r="42" customFormat="false" ht="35.05" hidden="false" customHeight="false" outlineLevel="0" collapsed="false">
      <c r="A42" s="6" t="s">
        <v>327</v>
      </c>
      <c r="B42" s="6" t="s">
        <v>42</v>
      </c>
      <c r="C42" s="6" t="n">
        <v>2</v>
      </c>
      <c r="D42" s="6" t="s">
        <v>31</v>
      </c>
      <c r="E42" s="6" t="s">
        <v>34</v>
      </c>
      <c r="F42" s="6" t="s">
        <v>296</v>
      </c>
      <c r="G42" s="6" t="s">
        <v>35</v>
      </c>
      <c r="H42" s="6" t="s">
        <v>64</v>
      </c>
      <c r="I42" s="6" t="s">
        <v>107</v>
      </c>
      <c r="J42" s="6" t="s">
        <v>66</v>
      </c>
      <c r="K42" s="6" t="s">
        <v>328</v>
      </c>
      <c r="L42" s="6" t="s">
        <v>329</v>
      </c>
      <c r="M42" s="6" t="s">
        <v>330</v>
      </c>
      <c r="N42" s="6" t="s">
        <v>331</v>
      </c>
      <c r="O42" s="6" t="s">
        <v>332</v>
      </c>
      <c r="P42" s="6" t="s">
        <v>329</v>
      </c>
      <c r="Q42" s="6" t="s">
        <v>333</v>
      </c>
      <c r="R42" s="6" t="s">
        <v>334</v>
      </c>
      <c r="S42" s="6" t="n">
        <v>1</v>
      </c>
      <c r="T42" s="6" t="s">
        <v>75</v>
      </c>
      <c r="U42" s="6" t="s">
        <v>76</v>
      </c>
      <c r="V42" s="6" t="s">
        <v>77</v>
      </c>
      <c r="W42" s="6" t="s">
        <v>78</v>
      </c>
      <c r="X42" s="6" t="s">
        <v>21</v>
      </c>
    </row>
    <row r="43" customFormat="false" ht="35.05" hidden="false" customHeight="false" outlineLevel="0" collapsed="false">
      <c r="A43" s="4" t="s">
        <v>335</v>
      </c>
      <c r="B43" s="4" t="s">
        <v>42</v>
      </c>
      <c r="C43" s="4" t="n">
        <v>2</v>
      </c>
      <c r="D43" s="4" t="s">
        <v>31</v>
      </c>
      <c r="E43" s="4" t="s">
        <v>34</v>
      </c>
      <c r="F43" s="4" t="s">
        <v>296</v>
      </c>
      <c r="G43" s="4" t="s">
        <v>35</v>
      </c>
      <c r="H43" s="4" t="s">
        <v>64</v>
      </c>
      <c r="I43" s="4" t="s">
        <v>107</v>
      </c>
      <c r="J43" s="4" t="s">
        <v>66</v>
      </c>
      <c r="K43" s="4" t="s">
        <v>336</v>
      </c>
      <c r="L43" s="4" t="s">
        <v>337</v>
      </c>
      <c r="M43" s="4" t="s">
        <v>338</v>
      </c>
      <c r="N43" s="4" t="s">
        <v>248</v>
      </c>
      <c r="O43" s="4" t="s">
        <v>339</v>
      </c>
      <c r="P43" s="4" t="s">
        <v>338</v>
      </c>
      <c r="Q43" s="4" t="s">
        <v>340</v>
      </c>
      <c r="R43" s="4" t="s">
        <v>341</v>
      </c>
      <c r="S43" s="4" t="n">
        <v>1</v>
      </c>
      <c r="T43" s="4" t="s">
        <v>75</v>
      </c>
      <c r="U43" s="4" t="s">
        <v>76</v>
      </c>
      <c r="V43" s="4" t="s">
        <v>77</v>
      </c>
      <c r="W43" s="4" t="s">
        <v>78</v>
      </c>
      <c r="X43" s="4" t="s">
        <v>21</v>
      </c>
    </row>
    <row r="44" customFormat="false" ht="35.05" hidden="false" customHeight="false" outlineLevel="0" collapsed="false">
      <c r="A44" s="6" t="s">
        <v>342</v>
      </c>
      <c r="B44" s="6" t="s">
        <v>42</v>
      </c>
      <c r="C44" s="6" t="n">
        <v>2</v>
      </c>
      <c r="D44" s="6" t="s">
        <v>31</v>
      </c>
      <c r="E44" s="6" t="s">
        <v>34</v>
      </c>
      <c r="F44" s="6" t="s">
        <v>296</v>
      </c>
      <c r="G44" s="6" t="s">
        <v>35</v>
      </c>
      <c r="H44" s="6" t="s">
        <v>64</v>
      </c>
      <c r="I44" s="6" t="s">
        <v>127</v>
      </c>
      <c r="J44" s="6" t="s">
        <v>66</v>
      </c>
      <c r="K44" s="6" t="s">
        <v>343</v>
      </c>
      <c r="L44" s="6" t="s">
        <v>344</v>
      </c>
      <c r="M44" s="6" t="s">
        <v>345</v>
      </c>
      <c r="N44" s="6" t="s">
        <v>346</v>
      </c>
      <c r="O44" s="6" t="s">
        <v>347</v>
      </c>
      <c r="P44" s="6" t="s">
        <v>346</v>
      </c>
      <c r="Q44" s="6" t="s">
        <v>348</v>
      </c>
      <c r="R44" s="6" t="s">
        <v>349</v>
      </c>
      <c r="S44" s="6" t="n">
        <v>1</v>
      </c>
      <c r="T44" s="6" t="s">
        <v>75</v>
      </c>
      <c r="U44" s="6" t="s">
        <v>76</v>
      </c>
      <c r="V44" s="6" t="s">
        <v>77</v>
      </c>
      <c r="W44" s="6" t="s">
        <v>78</v>
      </c>
      <c r="X44" s="6" t="s">
        <v>21</v>
      </c>
    </row>
    <row r="45" customFormat="false" ht="35.05" hidden="false" customHeight="false" outlineLevel="0" collapsed="false">
      <c r="A45" s="4" t="s">
        <v>350</v>
      </c>
      <c r="B45" s="4" t="s">
        <v>42</v>
      </c>
      <c r="C45" s="4" t="n">
        <v>2</v>
      </c>
      <c r="D45" s="4" t="s">
        <v>31</v>
      </c>
      <c r="E45" s="4" t="s">
        <v>34</v>
      </c>
      <c r="F45" s="4" t="s">
        <v>296</v>
      </c>
      <c r="G45" s="4" t="s">
        <v>35</v>
      </c>
      <c r="H45" s="4" t="s">
        <v>64</v>
      </c>
      <c r="I45" s="4" t="s">
        <v>107</v>
      </c>
      <c r="J45" s="4" t="s">
        <v>66</v>
      </c>
      <c r="K45" s="4" t="s">
        <v>351</v>
      </c>
      <c r="L45" s="4" t="s">
        <v>352</v>
      </c>
      <c r="M45" s="4" t="s">
        <v>353</v>
      </c>
      <c r="N45" s="4" t="s">
        <v>354</v>
      </c>
      <c r="O45" s="4" t="s">
        <v>355</v>
      </c>
      <c r="P45" s="4" t="s">
        <v>355</v>
      </c>
      <c r="Q45" s="4" t="s">
        <v>356</v>
      </c>
      <c r="R45" s="4" t="s">
        <v>357</v>
      </c>
      <c r="S45" s="4" t="n">
        <v>1</v>
      </c>
      <c r="T45" s="4" t="s">
        <v>75</v>
      </c>
      <c r="U45" s="4" t="s">
        <v>76</v>
      </c>
      <c r="V45" s="4" t="s">
        <v>77</v>
      </c>
      <c r="W45" s="4" t="s">
        <v>78</v>
      </c>
      <c r="X45" s="4" t="s">
        <v>21</v>
      </c>
    </row>
    <row r="46" customFormat="false" ht="91" hidden="false" customHeight="false" outlineLevel="0" collapsed="false">
      <c r="A46" s="6" t="s">
        <v>358</v>
      </c>
      <c r="B46" s="6" t="s">
        <v>42</v>
      </c>
      <c r="C46" s="6" t="n">
        <v>2</v>
      </c>
      <c r="D46" s="6" t="s">
        <v>31</v>
      </c>
      <c r="E46" s="6" t="s">
        <v>34</v>
      </c>
      <c r="F46" s="6" t="s">
        <v>296</v>
      </c>
      <c r="G46" s="6" t="s">
        <v>35</v>
      </c>
      <c r="H46" s="6" t="s">
        <v>126</v>
      </c>
      <c r="I46" s="6" t="s">
        <v>127</v>
      </c>
      <c r="J46" s="6" t="s">
        <v>66</v>
      </c>
      <c r="K46" s="6" t="s">
        <v>359</v>
      </c>
      <c r="L46" s="6"/>
      <c r="M46" s="6"/>
      <c r="N46" s="6"/>
      <c r="O46" s="6"/>
      <c r="P46" s="6" t="s">
        <v>360</v>
      </c>
      <c r="Q46" s="6" t="s">
        <v>361</v>
      </c>
      <c r="R46" s="6"/>
      <c r="S46" s="6" t="n">
        <v>2</v>
      </c>
      <c r="T46" s="6" t="s">
        <v>131</v>
      </c>
      <c r="U46" s="6" t="s">
        <v>132</v>
      </c>
      <c r="V46" s="6" t="s">
        <v>77</v>
      </c>
      <c r="W46" s="6" t="s">
        <v>78</v>
      </c>
      <c r="X46" s="6" t="s">
        <v>21</v>
      </c>
    </row>
    <row r="47" customFormat="false" ht="35.05" hidden="false" customHeight="false" outlineLevel="0" collapsed="false">
      <c r="A47" s="4" t="s">
        <v>362</v>
      </c>
      <c r="B47" s="4" t="s">
        <v>42</v>
      </c>
      <c r="C47" s="4" t="n">
        <v>2</v>
      </c>
      <c r="D47" s="4" t="s">
        <v>31</v>
      </c>
      <c r="E47" s="4" t="s">
        <v>34</v>
      </c>
      <c r="F47" s="4" t="s">
        <v>296</v>
      </c>
      <c r="G47" s="4" t="s">
        <v>35</v>
      </c>
      <c r="H47" s="4" t="s">
        <v>64</v>
      </c>
      <c r="I47" s="4" t="s">
        <v>80</v>
      </c>
      <c r="J47" s="4" t="s">
        <v>134</v>
      </c>
      <c r="K47" s="4" t="s">
        <v>363</v>
      </c>
      <c r="L47" s="4" t="s">
        <v>364</v>
      </c>
      <c r="M47" s="4" t="s">
        <v>365</v>
      </c>
      <c r="N47" s="4" t="s">
        <v>366</v>
      </c>
      <c r="O47" s="4" t="s">
        <v>367</v>
      </c>
      <c r="P47" s="4" t="s">
        <v>364</v>
      </c>
      <c r="Q47" s="4" t="s">
        <v>368</v>
      </c>
      <c r="R47" s="4" t="s">
        <v>138</v>
      </c>
      <c r="S47" s="4" t="n">
        <v>1</v>
      </c>
      <c r="T47" s="4" t="s">
        <v>75</v>
      </c>
      <c r="U47" s="4" t="s">
        <v>76</v>
      </c>
      <c r="V47" s="4" t="s">
        <v>77</v>
      </c>
      <c r="W47" s="4" t="s">
        <v>78</v>
      </c>
      <c r="X47" s="4" t="s">
        <v>21</v>
      </c>
    </row>
    <row r="48" customFormat="false" ht="35.05" hidden="false" customHeight="false" outlineLevel="0" collapsed="false">
      <c r="A48" s="6" t="s">
        <v>369</v>
      </c>
      <c r="B48" s="6" t="s">
        <v>42</v>
      </c>
      <c r="C48" s="6" t="n">
        <v>2</v>
      </c>
      <c r="D48" s="6" t="s">
        <v>31</v>
      </c>
      <c r="E48" s="6" t="s">
        <v>34</v>
      </c>
      <c r="F48" s="6" t="s">
        <v>296</v>
      </c>
      <c r="G48" s="6" t="s">
        <v>35</v>
      </c>
      <c r="H48" s="6" t="s">
        <v>64</v>
      </c>
      <c r="I48" s="6" t="s">
        <v>80</v>
      </c>
      <c r="J48" s="6" t="s">
        <v>134</v>
      </c>
      <c r="K48" s="6" t="s">
        <v>370</v>
      </c>
      <c r="L48" s="6" t="s">
        <v>371</v>
      </c>
      <c r="M48" s="6" t="s">
        <v>372</v>
      </c>
      <c r="N48" s="6" t="s">
        <v>373</v>
      </c>
      <c r="O48" s="6" t="s">
        <v>374</v>
      </c>
      <c r="P48" s="6" t="s">
        <v>372</v>
      </c>
      <c r="Q48" s="6" t="s">
        <v>375</v>
      </c>
      <c r="R48" s="6" t="s">
        <v>142</v>
      </c>
      <c r="S48" s="6" t="n">
        <v>1</v>
      </c>
      <c r="T48" s="6" t="s">
        <v>75</v>
      </c>
      <c r="U48" s="6" t="s">
        <v>76</v>
      </c>
      <c r="V48" s="6" t="s">
        <v>77</v>
      </c>
      <c r="W48" s="6" t="s">
        <v>78</v>
      </c>
      <c r="X48" s="6" t="s">
        <v>21</v>
      </c>
    </row>
    <row r="49" customFormat="false" ht="35.05" hidden="false" customHeight="false" outlineLevel="0" collapsed="false">
      <c r="A49" s="4" t="s">
        <v>376</v>
      </c>
      <c r="B49" s="4" t="s">
        <v>42</v>
      </c>
      <c r="C49" s="4" t="n">
        <v>2</v>
      </c>
      <c r="D49" s="4" t="s">
        <v>31</v>
      </c>
      <c r="E49" s="4" t="s">
        <v>34</v>
      </c>
      <c r="F49" s="4" t="s">
        <v>296</v>
      </c>
      <c r="G49" s="4" t="s">
        <v>35</v>
      </c>
      <c r="H49" s="4" t="s">
        <v>64</v>
      </c>
      <c r="I49" s="4" t="s">
        <v>107</v>
      </c>
      <c r="J49" s="4" t="s">
        <v>134</v>
      </c>
      <c r="K49" s="4" t="s">
        <v>377</v>
      </c>
      <c r="L49" s="4" t="s">
        <v>378</v>
      </c>
      <c r="M49" s="4" t="s">
        <v>379</v>
      </c>
      <c r="N49" s="4" t="s">
        <v>264</v>
      </c>
      <c r="O49" s="4" t="s">
        <v>380</v>
      </c>
      <c r="P49" s="4" t="s">
        <v>264</v>
      </c>
      <c r="Q49" s="4" t="s">
        <v>381</v>
      </c>
      <c r="R49" s="4" t="s">
        <v>147</v>
      </c>
      <c r="S49" s="4" t="n">
        <v>1</v>
      </c>
      <c r="T49" s="4" t="s">
        <v>75</v>
      </c>
      <c r="U49" s="4" t="s">
        <v>76</v>
      </c>
      <c r="V49" s="4" t="s">
        <v>77</v>
      </c>
      <c r="W49" s="4" t="s">
        <v>78</v>
      </c>
      <c r="X49" s="4" t="s">
        <v>21</v>
      </c>
    </row>
    <row r="50" customFormat="false" ht="35.05" hidden="false" customHeight="false" outlineLevel="0" collapsed="false">
      <c r="A50" s="6" t="s">
        <v>382</v>
      </c>
      <c r="B50" s="6" t="s">
        <v>42</v>
      </c>
      <c r="C50" s="6" t="n">
        <v>2</v>
      </c>
      <c r="D50" s="6" t="s">
        <v>31</v>
      </c>
      <c r="E50" s="6" t="s">
        <v>34</v>
      </c>
      <c r="F50" s="6" t="s">
        <v>296</v>
      </c>
      <c r="G50" s="6" t="s">
        <v>35</v>
      </c>
      <c r="H50" s="6" t="s">
        <v>64</v>
      </c>
      <c r="I50" s="6" t="s">
        <v>80</v>
      </c>
      <c r="J50" s="6" t="s">
        <v>134</v>
      </c>
      <c r="K50" s="6" t="s">
        <v>383</v>
      </c>
      <c r="L50" s="6" t="s">
        <v>384</v>
      </c>
      <c r="M50" s="6" t="s">
        <v>385</v>
      </c>
      <c r="N50" s="6" t="s">
        <v>386</v>
      </c>
      <c r="O50" s="6" t="s">
        <v>387</v>
      </c>
      <c r="P50" s="6" t="s">
        <v>387</v>
      </c>
      <c r="Q50" s="6" t="s">
        <v>325</v>
      </c>
      <c r="R50" s="6" t="s">
        <v>150</v>
      </c>
      <c r="S50" s="6" t="n">
        <v>1</v>
      </c>
      <c r="T50" s="6" t="s">
        <v>75</v>
      </c>
      <c r="U50" s="6" t="s">
        <v>76</v>
      </c>
      <c r="V50" s="6" t="s">
        <v>77</v>
      </c>
      <c r="W50" s="6" t="s">
        <v>78</v>
      </c>
      <c r="X50" s="6" t="s">
        <v>21</v>
      </c>
    </row>
    <row r="51" customFormat="false" ht="35.05" hidden="false" customHeight="false" outlineLevel="0" collapsed="false">
      <c r="A51" s="4" t="s">
        <v>388</v>
      </c>
      <c r="B51" s="4" t="s">
        <v>42</v>
      </c>
      <c r="C51" s="4" t="n">
        <v>2</v>
      </c>
      <c r="D51" s="4" t="s">
        <v>31</v>
      </c>
      <c r="E51" s="4" t="s">
        <v>34</v>
      </c>
      <c r="F51" s="4" t="s">
        <v>296</v>
      </c>
      <c r="G51" s="4" t="s">
        <v>35</v>
      </c>
      <c r="H51" s="4" t="s">
        <v>64</v>
      </c>
      <c r="I51" s="4" t="s">
        <v>107</v>
      </c>
      <c r="J51" s="4" t="s">
        <v>134</v>
      </c>
      <c r="K51" s="4" t="s">
        <v>389</v>
      </c>
      <c r="L51" s="4" t="s">
        <v>390</v>
      </c>
      <c r="M51" s="4" t="s">
        <v>391</v>
      </c>
      <c r="N51" s="4" t="s">
        <v>275</v>
      </c>
      <c r="O51" s="4" t="s">
        <v>392</v>
      </c>
      <c r="P51" s="4" t="s">
        <v>390</v>
      </c>
      <c r="Q51" s="4" t="s">
        <v>393</v>
      </c>
      <c r="R51" s="4" t="s">
        <v>154</v>
      </c>
      <c r="S51" s="4" t="n">
        <v>1</v>
      </c>
      <c r="T51" s="4" t="s">
        <v>75</v>
      </c>
      <c r="U51" s="4" t="s">
        <v>76</v>
      </c>
      <c r="V51" s="4" t="s">
        <v>77</v>
      </c>
      <c r="W51" s="4" t="s">
        <v>78</v>
      </c>
      <c r="X51" s="4" t="s">
        <v>21</v>
      </c>
    </row>
    <row r="52" customFormat="false" ht="35.05" hidden="false" customHeight="false" outlineLevel="0" collapsed="false">
      <c r="A52" s="6" t="s">
        <v>394</v>
      </c>
      <c r="B52" s="6" t="s">
        <v>42</v>
      </c>
      <c r="C52" s="6" t="n">
        <v>2</v>
      </c>
      <c r="D52" s="6" t="s">
        <v>31</v>
      </c>
      <c r="E52" s="6" t="s">
        <v>34</v>
      </c>
      <c r="F52" s="6" t="s">
        <v>296</v>
      </c>
      <c r="G52" s="6" t="s">
        <v>35</v>
      </c>
      <c r="H52" s="6" t="s">
        <v>64</v>
      </c>
      <c r="I52" s="6" t="s">
        <v>107</v>
      </c>
      <c r="J52" s="6" t="s">
        <v>134</v>
      </c>
      <c r="K52" s="6" t="s">
        <v>395</v>
      </c>
      <c r="L52" s="6" t="s">
        <v>396</v>
      </c>
      <c r="M52" s="6" t="s">
        <v>397</v>
      </c>
      <c r="N52" s="6" t="s">
        <v>398</v>
      </c>
      <c r="O52" s="6" t="s">
        <v>399</v>
      </c>
      <c r="P52" s="6" t="s">
        <v>397</v>
      </c>
      <c r="Q52" s="6" t="s">
        <v>400</v>
      </c>
      <c r="R52" s="6" t="s">
        <v>157</v>
      </c>
      <c r="S52" s="6" t="n">
        <v>1</v>
      </c>
      <c r="T52" s="6" t="s">
        <v>75</v>
      </c>
      <c r="U52" s="6" t="s">
        <v>76</v>
      </c>
      <c r="V52" s="6" t="s">
        <v>77</v>
      </c>
      <c r="W52" s="6" t="s">
        <v>78</v>
      </c>
      <c r="X52" s="6" t="s">
        <v>21</v>
      </c>
    </row>
    <row r="53" customFormat="false" ht="35.05" hidden="false" customHeight="false" outlineLevel="0" collapsed="false">
      <c r="A53" s="4" t="s">
        <v>401</v>
      </c>
      <c r="B53" s="4" t="s">
        <v>42</v>
      </c>
      <c r="C53" s="4" t="n">
        <v>2</v>
      </c>
      <c r="D53" s="4" t="s">
        <v>31</v>
      </c>
      <c r="E53" s="4" t="s">
        <v>34</v>
      </c>
      <c r="F53" s="4" t="s">
        <v>296</v>
      </c>
      <c r="G53" s="4" t="s">
        <v>35</v>
      </c>
      <c r="H53" s="4" t="s">
        <v>64</v>
      </c>
      <c r="I53" s="4" t="s">
        <v>127</v>
      </c>
      <c r="J53" s="4" t="s">
        <v>134</v>
      </c>
      <c r="K53" s="4" t="s">
        <v>402</v>
      </c>
      <c r="L53" s="4" t="s">
        <v>403</v>
      </c>
      <c r="M53" s="4" t="s">
        <v>404</v>
      </c>
      <c r="N53" s="4" t="s">
        <v>405</v>
      </c>
      <c r="O53" s="4" t="s">
        <v>406</v>
      </c>
      <c r="P53" s="4" t="s">
        <v>405</v>
      </c>
      <c r="Q53" s="4" t="s">
        <v>407</v>
      </c>
      <c r="R53" s="4" t="s">
        <v>164</v>
      </c>
      <c r="S53" s="4" t="n">
        <v>1</v>
      </c>
      <c r="T53" s="4" t="s">
        <v>75</v>
      </c>
      <c r="U53" s="4" t="s">
        <v>76</v>
      </c>
      <c r="V53" s="4" t="s">
        <v>77</v>
      </c>
      <c r="W53" s="4" t="s">
        <v>78</v>
      </c>
      <c r="X53" s="4" t="s">
        <v>21</v>
      </c>
    </row>
    <row r="54" customFormat="false" ht="35.05" hidden="false" customHeight="false" outlineLevel="0" collapsed="false">
      <c r="A54" s="6" t="s">
        <v>408</v>
      </c>
      <c r="B54" s="6" t="s">
        <v>42</v>
      </c>
      <c r="C54" s="6" t="n">
        <v>2</v>
      </c>
      <c r="D54" s="6" t="s">
        <v>31</v>
      </c>
      <c r="E54" s="6" t="s">
        <v>34</v>
      </c>
      <c r="F54" s="6" t="s">
        <v>296</v>
      </c>
      <c r="G54" s="6" t="s">
        <v>35</v>
      </c>
      <c r="H54" s="6" t="s">
        <v>64</v>
      </c>
      <c r="I54" s="6" t="s">
        <v>107</v>
      </c>
      <c r="J54" s="6" t="s">
        <v>134</v>
      </c>
      <c r="K54" s="6" t="s">
        <v>409</v>
      </c>
      <c r="L54" s="6" t="s">
        <v>410</v>
      </c>
      <c r="M54" s="6" t="s">
        <v>411</v>
      </c>
      <c r="N54" s="6" t="s">
        <v>412</v>
      </c>
      <c r="O54" s="6" t="s">
        <v>413</v>
      </c>
      <c r="P54" s="6" t="s">
        <v>413</v>
      </c>
      <c r="Q54" s="6" t="s">
        <v>414</v>
      </c>
      <c r="R54" s="6" t="s">
        <v>172</v>
      </c>
      <c r="S54" s="6" t="n">
        <v>1</v>
      </c>
      <c r="T54" s="6" t="s">
        <v>75</v>
      </c>
      <c r="U54" s="6" t="s">
        <v>76</v>
      </c>
      <c r="V54" s="6" t="s">
        <v>77</v>
      </c>
      <c r="W54" s="6" t="s">
        <v>78</v>
      </c>
      <c r="X54" s="6" t="s">
        <v>21</v>
      </c>
    </row>
    <row r="55" customFormat="false" ht="102.2" hidden="false" customHeight="false" outlineLevel="0" collapsed="false">
      <c r="A55" s="4" t="s">
        <v>415</v>
      </c>
      <c r="B55" s="4" t="s">
        <v>42</v>
      </c>
      <c r="C55" s="4" t="n">
        <v>2</v>
      </c>
      <c r="D55" s="4" t="s">
        <v>31</v>
      </c>
      <c r="E55" s="4" t="s">
        <v>34</v>
      </c>
      <c r="F55" s="4" t="s">
        <v>296</v>
      </c>
      <c r="G55" s="4" t="s">
        <v>35</v>
      </c>
      <c r="H55" s="4" t="s">
        <v>126</v>
      </c>
      <c r="I55" s="4" t="s">
        <v>127</v>
      </c>
      <c r="J55" s="4" t="s">
        <v>134</v>
      </c>
      <c r="K55" s="4" t="s">
        <v>416</v>
      </c>
      <c r="L55" s="4"/>
      <c r="M55" s="4"/>
      <c r="N55" s="4"/>
      <c r="O55" s="4"/>
      <c r="P55" s="4" t="s">
        <v>417</v>
      </c>
      <c r="Q55" s="4" t="s">
        <v>176</v>
      </c>
      <c r="R55" s="4"/>
      <c r="S55" s="4" t="n">
        <v>2</v>
      </c>
      <c r="T55" s="4" t="s">
        <v>131</v>
      </c>
      <c r="U55" s="4" t="s">
        <v>132</v>
      </c>
      <c r="V55" s="4" t="s">
        <v>77</v>
      </c>
      <c r="W55" s="4" t="s">
        <v>78</v>
      </c>
      <c r="X55" s="4" t="s">
        <v>21</v>
      </c>
    </row>
    <row r="56" customFormat="false" ht="35.05" hidden="false" customHeight="false" outlineLevel="0" collapsed="false">
      <c r="A56" s="6" t="s">
        <v>418</v>
      </c>
      <c r="B56" s="6" t="s">
        <v>44</v>
      </c>
      <c r="C56" s="6" t="n">
        <v>2</v>
      </c>
      <c r="D56" s="6" t="s">
        <v>31</v>
      </c>
      <c r="E56" s="6" t="s">
        <v>34</v>
      </c>
      <c r="F56" s="6" t="s">
        <v>419</v>
      </c>
      <c r="G56" s="6" t="s">
        <v>35</v>
      </c>
      <c r="H56" s="6" t="s">
        <v>64</v>
      </c>
      <c r="I56" s="6" t="s">
        <v>80</v>
      </c>
      <c r="J56" s="6" t="s">
        <v>66</v>
      </c>
      <c r="K56" s="6" t="s">
        <v>420</v>
      </c>
      <c r="L56" s="6" t="s">
        <v>421</v>
      </c>
      <c r="M56" s="6" t="s">
        <v>422</v>
      </c>
      <c r="N56" s="6" t="s">
        <v>423</v>
      </c>
      <c r="O56" s="6" t="s">
        <v>424</v>
      </c>
      <c r="P56" s="6" t="s">
        <v>421</v>
      </c>
      <c r="Q56" s="6" t="s">
        <v>425</v>
      </c>
      <c r="R56" s="6" t="s">
        <v>426</v>
      </c>
      <c r="S56" s="6" t="n">
        <v>1</v>
      </c>
      <c r="T56" s="6" t="s">
        <v>75</v>
      </c>
      <c r="U56" s="6" t="s">
        <v>76</v>
      </c>
      <c r="V56" s="6" t="s">
        <v>77</v>
      </c>
      <c r="W56" s="6" t="s">
        <v>78</v>
      </c>
      <c r="X56" s="6" t="s">
        <v>21</v>
      </c>
    </row>
    <row r="57" customFormat="false" ht="35.05" hidden="false" customHeight="false" outlineLevel="0" collapsed="false">
      <c r="A57" s="4" t="s">
        <v>427</v>
      </c>
      <c r="B57" s="4" t="s">
        <v>44</v>
      </c>
      <c r="C57" s="4" t="n">
        <v>2</v>
      </c>
      <c r="D57" s="4" t="s">
        <v>31</v>
      </c>
      <c r="E57" s="4" t="s">
        <v>34</v>
      </c>
      <c r="F57" s="4" t="s">
        <v>419</v>
      </c>
      <c r="G57" s="4" t="s">
        <v>35</v>
      </c>
      <c r="H57" s="4" t="s">
        <v>64</v>
      </c>
      <c r="I57" s="4" t="s">
        <v>107</v>
      </c>
      <c r="J57" s="4" t="s">
        <v>66</v>
      </c>
      <c r="K57" s="4" t="s">
        <v>428</v>
      </c>
      <c r="L57" s="4" t="s">
        <v>423</v>
      </c>
      <c r="M57" s="4" t="s">
        <v>421</v>
      </c>
      <c r="N57" s="4" t="s">
        <v>422</v>
      </c>
      <c r="O57" s="4"/>
      <c r="P57" s="4" t="s">
        <v>421</v>
      </c>
      <c r="Q57" s="4" t="s">
        <v>429</v>
      </c>
      <c r="R57" s="4" t="s">
        <v>430</v>
      </c>
      <c r="S57" s="4" t="n">
        <v>1</v>
      </c>
      <c r="T57" s="4" t="s">
        <v>75</v>
      </c>
      <c r="U57" s="4" t="s">
        <v>76</v>
      </c>
      <c r="V57" s="4" t="s">
        <v>77</v>
      </c>
      <c r="W57" s="4" t="s">
        <v>78</v>
      </c>
      <c r="X57" s="4" t="s">
        <v>21</v>
      </c>
    </row>
    <row r="58" customFormat="false" ht="35.05" hidden="false" customHeight="false" outlineLevel="0" collapsed="false">
      <c r="A58" s="6" t="s">
        <v>431</v>
      </c>
      <c r="B58" s="6" t="s">
        <v>44</v>
      </c>
      <c r="C58" s="6" t="n">
        <v>2</v>
      </c>
      <c r="D58" s="6" t="s">
        <v>31</v>
      </c>
      <c r="E58" s="6" t="s">
        <v>34</v>
      </c>
      <c r="F58" s="6" t="s">
        <v>419</v>
      </c>
      <c r="G58" s="6" t="s">
        <v>35</v>
      </c>
      <c r="H58" s="6" t="s">
        <v>64</v>
      </c>
      <c r="I58" s="6" t="s">
        <v>107</v>
      </c>
      <c r="J58" s="6" t="s">
        <v>66</v>
      </c>
      <c r="K58" s="6" t="s">
        <v>432</v>
      </c>
      <c r="L58" s="6" t="s">
        <v>421</v>
      </c>
      <c r="M58" s="6" t="s">
        <v>423</v>
      </c>
      <c r="N58" s="6" t="s">
        <v>422</v>
      </c>
      <c r="O58" s="6"/>
      <c r="P58" s="6" t="s">
        <v>422</v>
      </c>
      <c r="Q58" s="6" t="s">
        <v>433</v>
      </c>
      <c r="R58" s="6" t="s">
        <v>434</v>
      </c>
      <c r="S58" s="6" t="n">
        <v>1</v>
      </c>
      <c r="T58" s="6" t="s">
        <v>75</v>
      </c>
      <c r="U58" s="6" t="s">
        <v>76</v>
      </c>
      <c r="V58" s="6" t="s">
        <v>77</v>
      </c>
      <c r="W58" s="6" t="s">
        <v>78</v>
      </c>
      <c r="X58" s="6" t="s">
        <v>21</v>
      </c>
    </row>
    <row r="59" customFormat="false" ht="35.05" hidden="false" customHeight="false" outlineLevel="0" collapsed="false">
      <c r="A59" s="4" t="s">
        <v>435</v>
      </c>
      <c r="B59" s="4" t="s">
        <v>44</v>
      </c>
      <c r="C59" s="4" t="n">
        <v>2</v>
      </c>
      <c r="D59" s="4" t="s">
        <v>31</v>
      </c>
      <c r="E59" s="4" t="s">
        <v>34</v>
      </c>
      <c r="F59" s="4" t="s">
        <v>419</v>
      </c>
      <c r="G59" s="4" t="s">
        <v>35</v>
      </c>
      <c r="H59" s="4" t="s">
        <v>64</v>
      </c>
      <c r="I59" s="4" t="s">
        <v>107</v>
      </c>
      <c r="J59" s="4" t="s">
        <v>66</v>
      </c>
      <c r="K59" s="4" t="s">
        <v>436</v>
      </c>
      <c r="L59" s="4" t="s">
        <v>422</v>
      </c>
      <c r="M59" s="4" t="s">
        <v>421</v>
      </c>
      <c r="N59" s="4" t="s">
        <v>423</v>
      </c>
      <c r="O59" s="4"/>
      <c r="P59" s="4" t="s">
        <v>422</v>
      </c>
      <c r="Q59" s="4" t="s">
        <v>437</v>
      </c>
      <c r="R59" s="4" t="s">
        <v>438</v>
      </c>
      <c r="S59" s="4" t="n">
        <v>1</v>
      </c>
      <c r="T59" s="4" t="s">
        <v>75</v>
      </c>
      <c r="U59" s="4" t="s">
        <v>76</v>
      </c>
      <c r="V59" s="4" t="s">
        <v>77</v>
      </c>
      <c r="W59" s="4" t="s">
        <v>78</v>
      </c>
      <c r="X59" s="4" t="s">
        <v>21</v>
      </c>
    </row>
    <row r="60" customFormat="false" ht="35.05" hidden="false" customHeight="false" outlineLevel="0" collapsed="false">
      <c r="A60" s="6" t="s">
        <v>439</v>
      </c>
      <c r="B60" s="6" t="s">
        <v>44</v>
      </c>
      <c r="C60" s="6" t="n">
        <v>2</v>
      </c>
      <c r="D60" s="6" t="s">
        <v>31</v>
      </c>
      <c r="E60" s="6" t="s">
        <v>34</v>
      </c>
      <c r="F60" s="6" t="s">
        <v>419</v>
      </c>
      <c r="G60" s="6" t="s">
        <v>35</v>
      </c>
      <c r="H60" s="6" t="s">
        <v>64</v>
      </c>
      <c r="I60" s="6" t="s">
        <v>107</v>
      </c>
      <c r="J60" s="6" t="s">
        <v>66</v>
      </c>
      <c r="K60" s="6" t="s">
        <v>440</v>
      </c>
      <c r="L60" s="6" t="s">
        <v>421</v>
      </c>
      <c r="M60" s="6" t="s">
        <v>423</v>
      </c>
      <c r="N60" s="6" t="s">
        <v>422</v>
      </c>
      <c r="O60" s="6"/>
      <c r="P60" s="6" t="s">
        <v>423</v>
      </c>
      <c r="Q60" s="6" t="s">
        <v>441</v>
      </c>
      <c r="R60" s="6" t="s">
        <v>442</v>
      </c>
      <c r="S60" s="6" t="n">
        <v>1</v>
      </c>
      <c r="T60" s="6" t="s">
        <v>75</v>
      </c>
      <c r="U60" s="6" t="s">
        <v>76</v>
      </c>
      <c r="V60" s="6" t="s">
        <v>77</v>
      </c>
      <c r="W60" s="6" t="s">
        <v>78</v>
      </c>
      <c r="X60" s="6" t="s">
        <v>21</v>
      </c>
    </row>
    <row r="61" customFormat="false" ht="35.05" hidden="false" customHeight="false" outlineLevel="0" collapsed="false">
      <c r="A61" s="4" t="s">
        <v>443</v>
      </c>
      <c r="B61" s="4" t="s">
        <v>44</v>
      </c>
      <c r="C61" s="4" t="n">
        <v>2</v>
      </c>
      <c r="D61" s="4" t="s">
        <v>31</v>
      </c>
      <c r="E61" s="4" t="s">
        <v>34</v>
      </c>
      <c r="F61" s="4" t="s">
        <v>419</v>
      </c>
      <c r="G61" s="4" t="s">
        <v>35</v>
      </c>
      <c r="H61" s="4" t="s">
        <v>64</v>
      </c>
      <c r="I61" s="4" t="s">
        <v>127</v>
      </c>
      <c r="J61" s="4" t="s">
        <v>66</v>
      </c>
      <c r="K61" s="4" t="s">
        <v>444</v>
      </c>
      <c r="L61" s="4" t="s">
        <v>445</v>
      </c>
      <c r="M61" s="4" t="s">
        <v>446</v>
      </c>
      <c r="N61" s="4" t="s">
        <v>447</v>
      </c>
      <c r="O61" s="4"/>
      <c r="P61" s="4" t="s">
        <v>447</v>
      </c>
      <c r="Q61" s="4" t="s">
        <v>448</v>
      </c>
      <c r="R61" s="4" t="s">
        <v>449</v>
      </c>
      <c r="S61" s="4" t="n">
        <v>1</v>
      </c>
      <c r="T61" s="4" t="s">
        <v>75</v>
      </c>
      <c r="U61" s="4" t="s">
        <v>76</v>
      </c>
      <c r="V61" s="4" t="s">
        <v>77</v>
      </c>
      <c r="W61" s="4" t="s">
        <v>78</v>
      </c>
      <c r="X61" s="4" t="s">
        <v>21</v>
      </c>
    </row>
    <row r="62" customFormat="false" ht="35.05" hidden="false" customHeight="false" outlineLevel="0" collapsed="false">
      <c r="A62" s="6" t="s">
        <v>450</v>
      </c>
      <c r="B62" s="6" t="s">
        <v>44</v>
      </c>
      <c r="C62" s="6" t="n">
        <v>2</v>
      </c>
      <c r="D62" s="6" t="s">
        <v>31</v>
      </c>
      <c r="E62" s="6" t="s">
        <v>34</v>
      </c>
      <c r="F62" s="6" t="s">
        <v>419</v>
      </c>
      <c r="G62" s="6" t="s">
        <v>35</v>
      </c>
      <c r="H62" s="6" t="s">
        <v>64</v>
      </c>
      <c r="I62" s="6" t="s">
        <v>127</v>
      </c>
      <c r="J62" s="6" t="s">
        <v>66</v>
      </c>
      <c r="K62" s="6" t="s">
        <v>451</v>
      </c>
      <c r="L62" s="6" t="s">
        <v>452</v>
      </c>
      <c r="M62" s="6" t="s">
        <v>453</v>
      </c>
      <c r="N62" s="6" t="s">
        <v>454</v>
      </c>
      <c r="O62" s="6"/>
      <c r="P62" s="6" t="s">
        <v>452</v>
      </c>
      <c r="Q62" s="6" t="s">
        <v>455</v>
      </c>
      <c r="R62" s="6" t="s">
        <v>456</v>
      </c>
      <c r="S62" s="6" t="n">
        <v>1</v>
      </c>
      <c r="T62" s="6" t="s">
        <v>75</v>
      </c>
      <c r="U62" s="6" t="s">
        <v>76</v>
      </c>
      <c r="V62" s="6" t="s">
        <v>77</v>
      </c>
      <c r="W62" s="6" t="s">
        <v>78</v>
      </c>
      <c r="X62" s="6" t="s">
        <v>21</v>
      </c>
    </row>
    <row r="63" customFormat="false" ht="35.05" hidden="false" customHeight="false" outlineLevel="0" collapsed="false">
      <c r="A63" s="4" t="s">
        <v>457</v>
      </c>
      <c r="B63" s="4" t="s">
        <v>44</v>
      </c>
      <c r="C63" s="4" t="n">
        <v>2</v>
      </c>
      <c r="D63" s="4" t="s">
        <v>31</v>
      </c>
      <c r="E63" s="4" t="s">
        <v>34</v>
      </c>
      <c r="F63" s="4" t="s">
        <v>419</v>
      </c>
      <c r="G63" s="4" t="s">
        <v>35</v>
      </c>
      <c r="H63" s="4" t="s">
        <v>64</v>
      </c>
      <c r="I63" s="4" t="s">
        <v>127</v>
      </c>
      <c r="J63" s="4" t="s">
        <v>66</v>
      </c>
      <c r="K63" s="4" t="s">
        <v>458</v>
      </c>
      <c r="L63" s="4" t="s">
        <v>459</v>
      </c>
      <c r="M63" s="4" t="s">
        <v>460</v>
      </c>
      <c r="N63" s="4" t="s">
        <v>461</v>
      </c>
      <c r="O63" s="4"/>
      <c r="P63" s="4" t="s">
        <v>460</v>
      </c>
      <c r="Q63" s="4" t="s">
        <v>462</v>
      </c>
      <c r="R63" s="4" t="s">
        <v>463</v>
      </c>
      <c r="S63" s="4" t="n">
        <v>1</v>
      </c>
      <c r="T63" s="4" t="s">
        <v>75</v>
      </c>
      <c r="U63" s="4" t="s">
        <v>76</v>
      </c>
      <c r="V63" s="4" t="s">
        <v>77</v>
      </c>
      <c r="W63" s="4" t="s">
        <v>78</v>
      </c>
      <c r="X63" s="4" t="s">
        <v>21</v>
      </c>
    </row>
    <row r="64" customFormat="false" ht="113.4" hidden="false" customHeight="false" outlineLevel="0" collapsed="false">
      <c r="A64" s="6" t="s">
        <v>464</v>
      </c>
      <c r="B64" s="6" t="s">
        <v>44</v>
      </c>
      <c r="C64" s="6" t="n">
        <v>2</v>
      </c>
      <c r="D64" s="6" t="s">
        <v>31</v>
      </c>
      <c r="E64" s="6" t="s">
        <v>34</v>
      </c>
      <c r="F64" s="6" t="s">
        <v>419</v>
      </c>
      <c r="G64" s="6" t="s">
        <v>35</v>
      </c>
      <c r="H64" s="6" t="s">
        <v>126</v>
      </c>
      <c r="I64" s="6" t="s">
        <v>127</v>
      </c>
      <c r="J64" s="6" t="s">
        <v>66</v>
      </c>
      <c r="K64" s="6" t="s">
        <v>465</v>
      </c>
      <c r="L64" s="6"/>
      <c r="M64" s="6"/>
      <c r="N64" s="6"/>
      <c r="O64" s="6"/>
      <c r="P64" s="6" t="s">
        <v>466</v>
      </c>
      <c r="Q64" s="6" t="s">
        <v>467</v>
      </c>
      <c r="R64" s="6"/>
      <c r="S64" s="6" t="n">
        <v>2</v>
      </c>
      <c r="T64" s="6" t="s">
        <v>131</v>
      </c>
      <c r="U64" s="6" t="s">
        <v>132</v>
      </c>
      <c r="V64" s="6" t="s">
        <v>77</v>
      </c>
      <c r="W64" s="6" t="s">
        <v>78</v>
      </c>
      <c r="X64" s="6" t="s">
        <v>21</v>
      </c>
    </row>
    <row r="65" customFormat="false" ht="35.05" hidden="false" customHeight="false" outlineLevel="0" collapsed="false">
      <c r="A65" s="4" t="s">
        <v>468</v>
      </c>
      <c r="B65" s="4" t="s">
        <v>44</v>
      </c>
      <c r="C65" s="4" t="n">
        <v>2</v>
      </c>
      <c r="D65" s="4" t="s">
        <v>31</v>
      </c>
      <c r="E65" s="4" t="s">
        <v>34</v>
      </c>
      <c r="F65" s="4" t="s">
        <v>419</v>
      </c>
      <c r="G65" s="4" t="s">
        <v>35</v>
      </c>
      <c r="H65" s="4" t="s">
        <v>64</v>
      </c>
      <c r="I65" s="4" t="s">
        <v>80</v>
      </c>
      <c r="J65" s="4" t="s">
        <v>134</v>
      </c>
      <c r="K65" s="4" t="s">
        <v>469</v>
      </c>
      <c r="L65" s="4" t="s">
        <v>422</v>
      </c>
      <c r="M65" s="4" t="s">
        <v>421</v>
      </c>
      <c r="N65" s="4" t="s">
        <v>423</v>
      </c>
      <c r="O65" s="4" t="s">
        <v>470</v>
      </c>
      <c r="P65" s="4" t="s">
        <v>422</v>
      </c>
      <c r="Q65" s="4" t="s">
        <v>471</v>
      </c>
      <c r="R65" s="4" t="s">
        <v>472</v>
      </c>
      <c r="S65" s="4" t="n">
        <v>1</v>
      </c>
      <c r="T65" s="4" t="s">
        <v>75</v>
      </c>
      <c r="U65" s="4" t="s">
        <v>76</v>
      </c>
      <c r="V65" s="4" t="s">
        <v>77</v>
      </c>
      <c r="W65" s="4" t="s">
        <v>78</v>
      </c>
      <c r="X65" s="4" t="s">
        <v>21</v>
      </c>
    </row>
    <row r="66" customFormat="false" ht="35.05" hidden="false" customHeight="false" outlineLevel="0" collapsed="false">
      <c r="A66" s="6" t="s">
        <v>473</v>
      </c>
      <c r="B66" s="6" t="s">
        <v>44</v>
      </c>
      <c r="C66" s="6" t="n">
        <v>2</v>
      </c>
      <c r="D66" s="6" t="s">
        <v>31</v>
      </c>
      <c r="E66" s="6" t="s">
        <v>34</v>
      </c>
      <c r="F66" s="6" t="s">
        <v>419</v>
      </c>
      <c r="G66" s="6" t="s">
        <v>35</v>
      </c>
      <c r="H66" s="6" t="s">
        <v>64</v>
      </c>
      <c r="I66" s="6" t="s">
        <v>107</v>
      </c>
      <c r="J66" s="6" t="s">
        <v>134</v>
      </c>
      <c r="K66" s="6" t="s">
        <v>474</v>
      </c>
      <c r="L66" s="6" t="s">
        <v>421</v>
      </c>
      <c r="M66" s="6" t="s">
        <v>423</v>
      </c>
      <c r="N66" s="6" t="s">
        <v>422</v>
      </c>
      <c r="O66" s="6"/>
      <c r="P66" s="6" t="s">
        <v>421</v>
      </c>
      <c r="Q66" s="6" t="s">
        <v>475</v>
      </c>
      <c r="R66" s="6" t="s">
        <v>142</v>
      </c>
      <c r="S66" s="6" t="n">
        <v>1</v>
      </c>
      <c r="T66" s="6" t="s">
        <v>75</v>
      </c>
      <c r="U66" s="6" t="s">
        <v>76</v>
      </c>
      <c r="V66" s="6" t="s">
        <v>77</v>
      </c>
      <c r="W66" s="6" t="s">
        <v>78</v>
      </c>
      <c r="X66" s="6" t="s">
        <v>21</v>
      </c>
    </row>
    <row r="67" customFormat="false" ht="35.05" hidden="false" customHeight="false" outlineLevel="0" collapsed="false">
      <c r="A67" s="4" t="s">
        <v>476</v>
      </c>
      <c r="B67" s="4" t="s">
        <v>44</v>
      </c>
      <c r="C67" s="4" t="n">
        <v>2</v>
      </c>
      <c r="D67" s="4" t="s">
        <v>31</v>
      </c>
      <c r="E67" s="4" t="s">
        <v>34</v>
      </c>
      <c r="F67" s="4" t="s">
        <v>419</v>
      </c>
      <c r="G67" s="4" t="s">
        <v>35</v>
      </c>
      <c r="H67" s="4" t="s">
        <v>64</v>
      </c>
      <c r="I67" s="4" t="s">
        <v>107</v>
      </c>
      <c r="J67" s="4" t="s">
        <v>134</v>
      </c>
      <c r="K67" s="4" t="s">
        <v>477</v>
      </c>
      <c r="L67" s="4" t="s">
        <v>421</v>
      </c>
      <c r="M67" s="4" t="s">
        <v>422</v>
      </c>
      <c r="N67" s="4" t="s">
        <v>423</v>
      </c>
      <c r="O67" s="4"/>
      <c r="P67" s="4" t="s">
        <v>422</v>
      </c>
      <c r="Q67" s="4" t="s">
        <v>478</v>
      </c>
      <c r="R67" s="4" t="s">
        <v>147</v>
      </c>
      <c r="S67" s="4" t="n">
        <v>1</v>
      </c>
      <c r="T67" s="4" t="s">
        <v>75</v>
      </c>
      <c r="U67" s="4" t="s">
        <v>76</v>
      </c>
      <c r="V67" s="4" t="s">
        <v>77</v>
      </c>
      <c r="W67" s="4" t="s">
        <v>78</v>
      </c>
      <c r="X67" s="4" t="s">
        <v>21</v>
      </c>
    </row>
    <row r="68" customFormat="false" ht="35.05" hidden="false" customHeight="false" outlineLevel="0" collapsed="false">
      <c r="A68" s="6" t="s">
        <v>479</v>
      </c>
      <c r="B68" s="6" t="s">
        <v>44</v>
      </c>
      <c r="C68" s="6" t="n">
        <v>2</v>
      </c>
      <c r="D68" s="6" t="s">
        <v>31</v>
      </c>
      <c r="E68" s="6" t="s">
        <v>34</v>
      </c>
      <c r="F68" s="6" t="s">
        <v>419</v>
      </c>
      <c r="G68" s="6" t="s">
        <v>35</v>
      </c>
      <c r="H68" s="6" t="s">
        <v>64</v>
      </c>
      <c r="I68" s="6" t="s">
        <v>107</v>
      </c>
      <c r="J68" s="6" t="s">
        <v>134</v>
      </c>
      <c r="K68" s="6" t="s">
        <v>480</v>
      </c>
      <c r="L68" s="6" t="s">
        <v>423</v>
      </c>
      <c r="M68" s="6" t="s">
        <v>422</v>
      </c>
      <c r="N68" s="6" t="s">
        <v>421</v>
      </c>
      <c r="O68" s="6"/>
      <c r="P68" s="6" t="s">
        <v>421</v>
      </c>
      <c r="Q68" s="6" t="s">
        <v>481</v>
      </c>
      <c r="R68" s="6" t="s">
        <v>150</v>
      </c>
      <c r="S68" s="6" t="n">
        <v>1</v>
      </c>
      <c r="T68" s="6" t="s">
        <v>75</v>
      </c>
      <c r="U68" s="6" t="s">
        <v>76</v>
      </c>
      <c r="V68" s="6" t="s">
        <v>77</v>
      </c>
      <c r="W68" s="6" t="s">
        <v>78</v>
      </c>
      <c r="X68" s="6" t="s">
        <v>21</v>
      </c>
    </row>
    <row r="69" customFormat="false" ht="35.05" hidden="false" customHeight="false" outlineLevel="0" collapsed="false">
      <c r="A69" s="4" t="s">
        <v>482</v>
      </c>
      <c r="B69" s="4" t="s">
        <v>44</v>
      </c>
      <c r="C69" s="4" t="n">
        <v>2</v>
      </c>
      <c r="D69" s="4" t="s">
        <v>31</v>
      </c>
      <c r="E69" s="4" t="s">
        <v>34</v>
      </c>
      <c r="F69" s="4" t="s">
        <v>419</v>
      </c>
      <c r="G69" s="4" t="s">
        <v>35</v>
      </c>
      <c r="H69" s="4" t="s">
        <v>64</v>
      </c>
      <c r="I69" s="4" t="s">
        <v>107</v>
      </c>
      <c r="J69" s="4" t="s">
        <v>134</v>
      </c>
      <c r="K69" s="4" t="s">
        <v>483</v>
      </c>
      <c r="L69" s="4" t="s">
        <v>423</v>
      </c>
      <c r="M69" s="4" t="s">
        <v>421</v>
      </c>
      <c r="N69" s="4" t="s">
        <v>422</v>
      </c>
      <c r="O69" s="4"/>
      <c r="P69" s="4" t="s">
        <v>423</v>
      </c>
      <c r="Q69" s="4" t="s">
        <v>441</v>
      </c>
      <c r="R69" s="4" t="s">
        <v>154</v>
      </c>
      <c r="S69" s="4" t="n">
        <v>1</v>
      </c>
      <c r="T69" s="4" t="s">
        <v>75</v>
      </c>
      <c r="U69" s="4" t="s">
        <v>76</v>
      </c>
      <c r="V69" s="4" t="s">
        <v>77</v>
      </c>
      <c r="W69" s="4" t="s">
        <v>78</v>
      </c>
      <c r="X69" s="4" t="s">
        <v>21</v>
      </c>
    </row>
    <row r="70" customFormat="false" ht="35.05" hidden="false" customHeight="false" outlineLevel="0" collapsed="false">
      <c r="A70" s="6" t="s">
        <v>484</v>
      </c>
      <c r="B70" s="6" t="s">
        <v>44</v>
      </c>
      <c r="C70" s="6" t="n">
        <v>2</v>
      </c>
      <c r="D70" s="6" t="s">
        <v>31</v>
      </c>
      <c r="E70" s="6" t="s">
        <v>34</v>
      </c>
      <c r="F70" s="6" t="s">
        <v>419</v>
      </c>
      <c r="G70" s="6" t="s">
        <v>35</v>
      </c>
      <c r="H70" s="6" t="s">
        <v>64</v>
      </c>
      <c r="I70" s="6" t="s">
        <v>127</v>
      </c>
      <c r="J70" s="6" t="s">
        <v>134</v>
      </c>
      <c r="K70" s="6" t="s">
        <v>485</v>
      </c>
      <c r="L70" s="6" t="s">
        <v>486</v>
      </c>
      <c r="M70" s="6" t="s">
        <v>487</v>
      </c>
      <c r="N70" s="6" t="s">
        <v>446</v>
      </c>
      <c r="O70" s="6"/>
      <c r="P70" s="6" t="s">
        <v>487</v>
      </c>
      <c r="Q70" s="6" t="s">
        <v>488</v>
      </c>
      <c r="R70" s="6" t="s">
        <v>157</v>
      </c>
      <c r="S70" s="6" t="n">
        <v>1</v>
      </c>
      <c r="T70" s="6" t="s">
        <v>75</v>
      </c>
      <c r="U70" s="6" t="s">
        <v>76</v>
      </c>
      <c r="V70" s="6" t="s">
        <v>77</v>
      </c>
      <c r="W70" s="6" t="s">
        <v>78</v>
      </c>
      <c r="X70" s="6" t="s">
        <v>21</v>
      </c>
    </row>
    <row r="71" customFormat="false" ht="35.05" hidden="false" customHeight="false" outlineLevel="0" collapsed="false">
      <c r="A71" s="4" t="s">
        <v>489</v>
      </c>
      <c r="B71" s="4" t="s">
        <v>44</v>
      </c>
      <c r="C71" s="4" t="n">
        <v>2</v>
      </c>
      <c r="D71" s="4" t="s">
        <v>31</v>
      </c>
      <c r="E71" s="4" t="s">
        <v>34</v>
      </c>
      <c r="F71" s="4" t="s">
        <v>419</v>
      </c>
      <c r="G71" s="4" t="s">
        <v>35</v>
      </c>
      <c r="H71" s="4" t="s">
        <v>64</v>
      </c>
      <c r="I71" s="4" t="s">
        <v>127</v>
      </c>
      <c r="J71" s="4" t="s">
        <v>134</v>
      </c>
      <c r="K71" s="4" t="s">
        <v>451</v>
      </c>
      <c r="L71" s="4" t="s">
        <v>490</v>
      </c>
      <c r="M71" s="4" t="s">
        <v>491</v>
      </c>
      <c r="N71" s="4" t="s">
        <v>492</v>
      </c>
      <c r="O71" s="4"/>
      <c r="P71" s="4" t="s">
        <v>492</v>
      </c>
      <c r="Q71" s="4" t="s">
        <v>493</v>
      </c>
      <c r="R71" s="4" t="s">
        <v>164</v>
      </c>
      <c r="S71" s="4" t="n">
        <v>1</v>
      </c>
      <c r="T71" s="4" t="s">
        <v>75</v>
      </c>
      <c r="U71" s="4" t="s">
        <v>76</v>
      </c>
      <c r="V71" s="4" t="s">
        <v>77</v>
      </c>
      <c r="W71" s="4" t="s">
        <v>78</v>
      </c>
      <c r="X71" s="4" t="s">
        <v>21</v>
      </c>
    </row>
    <row r="72" customFormat="false" ht="35.05" hidden="false" customHeight="false" outlineLevel="0" collapsed="false">
      <c r="A72" s="6" t="s">
        <v>494</v>
      </c>
      <c r="B72" s="6" t="s">
        <v>44</v>
      </c>
      <c r="C72" s="6" t="n">
        <v>2</v>
      </c>
      <c r="D72" s="6" t="s">
        <v>31</v>
      </c>
      <c r="E72" s="6" t="s">
        <v>34</v>
      </c>
      <c r="F72" s="6" t="s">
        <v>419</v>
      </c>
      <c r="G72" s="6" t="s">
        <v>35</v>
      </c>
      <c r="H72" s="6" t="s">
        <v>64</v>
      </c>
      <c r="I72" s="6" t="s">
        <v>127</v>
      </c>
      <c r="J72" s="6" t="s">
        <v>134</v>
      </c>
      <c r="K72" s="6" t="s">
        <v>495</v>
      </c>
      <c r="L72" s="6" t="s">
        <v>461</v>
      </c>
      <c r="M72" s="6" t="s">
        <v>459</v>
      </c>
      <c r="N72" s="6" t="s">
        <v>460</v>
      </c>
      <c r="O72" s="6"/>
      <c r="P72" s="6" t="s">
        <v>461</v>
      </c>
      <c r="Q72" s="6" t="s">
        <v>496</v>
      </c>
      <c r="R72" s="6" t="s">
        <v>172</v>
      </c>
      <c r="S72" s="6" t="n">
        <v>1</v>
      </c>
      <c r="T72" s="6" t="s">
        <v>75</v>
      </c>
      <c r="U72" s="6" t="s">
        <v>76</v>
      </c>
      <c r="V72" s="6" t="s">
        <v>77</v>
      </c>
      <c r="W72" s="6" t="s">
        <v>78</v>
      </c>
      <c r="X72" s="6" t="s">
        <v>21</v>
      </c>
    </row>
    <row r="73" customFormat="false" ht="79.85" hidden="false" customHeight="false" outlineLevel="0" collapsed="false">
      <c r="A73" s="4" t="s">
        <v>497</v>
      </c>
      <c r="B73" s="4" t="s">
        <v>44</v>
      </c>
      <c r="C73" s="4" t="n">
        <v>2</v>
      </c>
      <c r="D73" s="4" t="s">
        <v>31</v>
      </c>
      <c r="E73" s="4" t="s">
        <v>34</v>
      </c>
      <c r="F73" s="4" t="s">
        <v>419</v>
      </c>
      <c r="G73" s="4" t="s">
        <v>35</v>
      </c>
      <c r="H73" s="4" t="s">
        <v>126</v>
      </c>
      <c r="I73" s="4" t="s">
        <v>127</v>
      </c>
      <c r="J73" s="4" t="s">
        <v>134</v>
      </c>
      <c r="K73" s="4" t="s">
        <v>498</v>
      </c>
      <c r="L73" s="4"/>
      <c r="M73" s="4"/>
      <c r="N73" s="4"/>
      <c r="O73" s="4"/>
      <c r="P73" s="4" t="s">
        <v>499</v>
      </c>
      <c r="Q73" s="4" t="s">
        <v>176</v>
      </c>
      <c r="R73" s="4"/>
      <c r="S73" s="4" t="n">
        <v>2</v>
      </c>
      <c r="T73" s="4" t="s">
        <v>131</v>
      </c>
      <c r="U73" s="4" t="s">
        <v>132</v>
      </c>
      <c r="V73" s="4" t="s">
        <v>77</v>
      </c>
      <c r="W73" s="4" t="s">
        <v>78</v>
      </c>
      <c r="X73" s="4" t="s">
        <v>21</v>
      </c>
    </row>
    <row r="74" customFormat="false" ht="35.05" hidden="false" customHeight="false" outlineLevel="0" collapsed="false">
      <c r="A74" s="6" t="s">
        <v>500</v>
      </c>
      <c r="B74" s="6" t="s">
        <v>36</v>
      </c>
      <c r="C74" s="6" t="n">
        <v>2</v>
      </c>
      <c r="D74" s="6" t="s">
        <v>31</v>
      </c>
      <c r="E74" s="6" t="s">
        <v>34</v>
      </c>
      <c r="F74" s="6" t="s">
        <v>63</v>
      </c>
      <c r="G74" s="6" t="s">
        <v>35</v>
      </c>
      <c r="H74" s="6" t="s">
        <v>501</v>
      </c>
      <c r="I74" s="6" t="s">
        <v>502</v>
      </c>
      <c r="J74" s="6" t="s">
        <v>503</v>
      </c>
      <c r="K74" s="6" t="s">
        <v>504</v>
      </c>
      <c r="L74" s="6"/>
      <c r="M74" s="6"/>
      <c r="N74" s="6"/>
      <c r="O74" s="6"/>
      <c r="P74" s="6" t="s">
        <v>505</v>
      </c>
      <c r="Q74" s="6" t="s">
        <v>506</v>
      </c>
      <c r="R74" s="6" t="s">
        <v>507</v>
      </c>
      <c r="S74" s="6" t="n">
        <v>4</v>
      </c>
      <c r="T74" s="6" t="s">
        <v>131</v>
      </c>
      <c r="U74" s="6" t="s">
        <v>132</v>
      </c>
      <c r="V74" s="6" t="s">
        <v>77</v>
      </c>
      <c r="W74" s="6" t="s">
        <v>78</v>
      </c>
      <c r="X74" s="6" t="s">
        <v>21</v>
      </c>
    </row>
    <row r="75" customFormat="false" ht="35.05" hidden="false" customHeight="false" outlineLevel="0" collapsed="false">
      <c r="A75" s="4" t="s">
        <v>508</v>
      </c>
      <c r="B75" s="4" t="s">
        <v>39</v>
      </c>
      <c r="C75" s="4" t="n">
        <v>2</v>
      </c>
      <c r="D75" s="4" t="s">
        <v>31</v>
      </c>
      <c r="E75" s="4" t="s">
        <v>34</v>
      </c>
      <c r="F75" s="4" t="s">
        <v>178</v>
      </c>
      <c r="G75" s="4" t="s">
        <v>41</v>
      </c>
      <c r="H75" s="4" t="s">
        <v>501</v>
      </c>
      <c r="I75" s="4" t="s">
        <v>502</v>
      </c>
      <c r="J75" s="4" t="s">
        <v>503</v>
      </c>
      <c r="K75" s="4" t="s">
        <v>509</v>
      </c>
      <c r="L75" s="4"/>
      <c r="M75" s="4"/>
      <c r="N75" s="4"/>
      <c r="O75" s="4"/>
      <c r="P75" s="4" t="s">
        <v>505</v>
      </c>
      <c r="Q75" s="4" t="s">
        <v>510</v>
      </c>
      <c r="R75" s="4" t="s">
        <v>511</v>
      </c>
      <c r="S75" s="4" t="n">
        <v>4</v>
      </c>
      <c r="T75" s="4" t="s">
        <v>131</v>
      </c>
      <c r="U75" s="4" t="s">
        <v>132</v>
      </c>
      <c r="V75" s="4" t="s">
        <v>77</v>
      </c>
      <c r="W75" s="4" t="s">
        <v>78</v>
      </c>
      <c r="X75" s="4" t="s">
        <v>21</v>
      </c>
    </row>
    <row r="76" customFormat="false" ht="35.05" hidden="false" customHeight="false" outlineLevel="0" collapsed="false">
      <c r="A76" s="6" t="s">
        <v>512</v>
      </c>
      <c r="B76" s="6" t="s">
        <v>42</v>
      </c>
      <c r="C76" s="6" t="n">
        <v>2</v>
      </c>
      <c r="D76" s="6" t="s">
        <v>31</v>
      </c>
      <c r="E76" s="6" t="s">
        <v>34</v>
      </c>
      <c r="F76" s="6" t="s">
        <v>296</v>
      </c>
      <c r="G76" s="6" t="s">
        <v>35</v>
      </c>
      <c r="H76" s="6" t="s">
        <v>501</v>
      </c>
      <c r="I76" s="6" t="s">
        <v>502</v>
      </c>
      <c r="J76" s="6" t="s">
        <v>503</v>
      </c>
      <c r="K76" s="6" t="s">
        <v>513</v>
      </c>
      <c r="L76" s="6"/>
      <c r="M76" s="6"/>
      <c r="N76" s="6"/>
      <c r="O76" s="6"/>
      <c r="P76" s="6" t="s">
        <v>505</v>
      </c>
      <c r="Q76" s="6" t="s">
        <v>514</v>
      </c>
      <c r="R76" s="6" t="s">
        <v>515</v>
      </c>
      <c r="S76" s="6" t="n">
        <v>4</v>
      </c>
      <c r="T76" s="6" t="s">
        <v>131</v>
      </c>
      <c r="U76" s="6" t="s">
        <v>132</v>
      </c>
      <c r="V76" s="6" t="s">
        <v>77</v>
      </c>
      <c r="W76" s="6" t="s">
        <v>78</v>
      </c>
      <c r="X76" s="6" t="s">
        <v>21</v>
      </c>
    </row>
    <row r="77" customFormat="false" ht="35.05" hidden="false" customHeight="false" outlineLevel="0" collapsed="false">
      <c r="A77" s="4" t="s">
        <v>516</v>
      </c>
      <c r="B77" s="4" t="s">
        <v>44</v>
      </c>
      <c r="C77" s="4" t="n">
        <v>2</v>
      </c>
      <c r="D77" s="4" t="s">
        <v>31</v>
      </c>
      <c r="E77" s="4" t="s">
        <v>34</v>
      </c>
      <c r="F77" s="4" t="s">
        <v>419</v>
      </c>
      <c r="G77" s="4" t="s">
        <v>35</v>
      </c>
      <c r="H77" s="4" t="s">
        <v>501</v>
      </c>
      <c r="I77" s="4" t="s">
        <v>502</v>
      </c>
      <c r="J77" s="4" t="s">
        <v>503</v>
      </c>
      <c r="K77" s="4" t="s">
        <v>517</v>
      </c>
      <c r="L77" s="4"/>
      <c r="M77" s="4"/>
      <c r="N77" s="4"/>
      <c r="O77" s="4"/>
      <c r="P77" s="4" t="s">
        <v>505</v>
      </c>
      <c r="Q77" s="4" t="s">
        <v>518</v>
      </c>
      <c r="R77" s="4" t="s">
        <v>519</v>
      </c>
      <c r="S77" s="4" t="n">
        <v>4</v>
      </c>
      <c r="T77" s="4" t="s">
        <v>131</v>
      </c>
      <c r="U77" s="4" t="s">
        <v>132</v>
      </c>
      <c r="V77" s="4" t="s">
        <v>77</v>
      </c>
      <c r="W77" s="4" t="s">
        <v>78</v>
      </c>
      <c r="X77" s="4" t="s">
        <v>21</v>
      </c>
    </row>
    <row r="78" customFormat="false" ht="35.05" hidden="false" customHeight="false" outlineLevel="0" collapsed="false">
      <c r="A78" s="6" t="s">
        <v>520</v>
      </c>
      <c r="B78" s="6" t="s">
        <v>30</v>
      </c>
      <c r="C78" s="6" t="n">
        <v>2</v>
      </c>
      <c r="D78" s="6" t="s">
        <v>31</v>
      </c>
      <c r="E78" s="6" t="s">
        <v>34</v>
      </c>
      <c r="F78" s="6" t="s">
        <v>521</v>
      </c>
      <c r="G78" s="6" t="s">
        <v>35</v>
      </c>
      <c r="H78" s="6" t="s">
        <v>64</v>
      </c>
      <c r="I78" s="6" t="s">
        <v>80</v>
      </c>
      <c r="J78" s="6" t="s">
        <v>522</v>
      </c>
      <c r="K78" s="6" t="s">
        <v>523</v>
      </c>
      <c r="L78" s="6" t="s">
        <v>160</v>
      </c>
      <c r="M78" s="6" t="s">
        <v>524</v>
      </c>
      <c r="N78" s="6" t="s">
        <v>525</v>
      </c>
      <c r="O78" s="6"/>
      <c r="P78" s="6" t="s">
        <v>525</v>
      </c>
      <c r="Q78" s="6" t="s">
        <v>526</v>
      </c>
      <c r="R78" s="6" t="s">
        <v>527</v>
      </c>
      <c r="S78" s="6" t="n">
        <v>1</v>
      </c>
      <c r="T78" s="6" t="s">
        <v>75</v>
      </c>
      <c r="U78" s="6" t="s">
        <v>76</v>
      </c>
      <c r="V78" s="6" t="s">
        <v>77</v>
      </c>
      <c r="W78" s="6" t="s">
        <v>78</v>
      </c>
      <c r="X78" s="6" t="s">
        <v>21</v>
      </c>
    </row>
    <row r="79" customFormat="false" ht="35.05" hidden="false" customHeight="false" outlineLevel="0" collapsed="false">
      <c r="A79" s="4" t="s">
        <v>528</v>
      </c>
      <c r="B79" s="4" t="s">
        <v>30</v>
      </c>
      <c r="C79" s="4" t="n">
        <v>2</v>
      </c>
      <c r="D79" s="4" t="s">
        <v>31</v>
      </c>
      <c r="E79" s="4" t="s">
        <v>34</v>
      </c>
      <c r="F79" s="4" t="s">
        <v>521</v>
      </c>
      <c r="G79" s="4" t="s">
        <v>35</v>
      </c>
      <c r="H79" s="4" t="s">
        <v>64</v>
      </c>
      <c r="I79" s="4" t="s">
        <v>80</v>
      </c>
      <c r="J79" s="4" t="s">
        <v>522</v>
      </c>
      <c r="K79" s="4" t="s">
        <v>529</v>
      </c>
      <c r="L79" s="4" t="s">
        <v>524</v>
      </c>
      <c r="M79" s="4" t="s">
        <v>530</v>
      </c>
      <c r="N79" s="4" t="s">
        <v>531</v>
      </c>
      <c r="O79" s="4"/>
      <c r="P79" s="4" t="s">
        <v>530</v>
      </c>
      <c r="Q79" s="4" t="s">
        <v>532</v>
      </c>
      <c r="R79" s="4" t="s">
        <v>533</v>
      </c>
      <c r="S79" s="4" t="n">
        <v>1</v>
      </c>
      <c r="T79" s="4" t="s">
        <v>75</v>
      </c>
      <c r="U79" s="4" t="s">
        <v>76</v>
      </c>
      <c r="V79" s="4" t="s">
        <v>77</v>
      </c>
      <c r="W79" s="4" t="s">
        <v>78</v>
      </c>
      <c r="X79" s="4" t="s">
        <v>21</v>
      </c>
    </row>
    <row r="80" customFormat="false" ht="35.05" hidden="false" customHeight="false" outlineLevel="0" collapsed="false">
      <c r="A80" s="6" t="s">
        <v>534</v>
      </c>
      <c r="B80" s="6" t="s">
        <v>30</v>
      </c>
      <c r="C80" s="6" t="n">
        <v>2</v>
      </c>
      <c r="D80" s="6" t="s">
        <v>31</v>
      </c>
      <c r="E80" s="6" t="s">
        <v>34</v>
      </c>
      <c r="F80" s="6" t="s">
        <v>521</v>
      </c>
      <c r="G80" s="6" t="s">
        <v>35</v>
      </c>
      <c r="H80" s="6" t="s">
        <v>64</v>
      </c>
      <c r="I80" s="6" t="s">
        <v>107</v>
      </c>
      <c r="J80" s="6" t="s">
        <v>535</v>
      </c>
      <c r="K80" s="6" t="s">
        <v>536</v>
      </c>
      <c r="L80" s="6" t="s">
        <v>537</v>
      </c>
      <c r="M80" s="6" t="s">
        <v>538</v>
      </c>
      <c r="N80" s="6" t="s">
        <v>539</v>
      </c>
      <c r="O80" s="6"/>
      <c r="P80" s="6" t="s">
        <v>537</v>
      </c>
      <c r="Q80" s="6" t="s">
        <v>540</v>
      </c>
      <c r="R80" s="6" t="s">
        <v>541</v>
      </c>
      <c r="S80" s="6" t="n">
        <v>1</v>
      </c>
      <c r="T80" s="6" t="s">
        <v>75</v>
      </c>
      <c r="U80" s="6" t="s">
        <v>76</v>
      </c>
      <c r="V80" s="6" t="s">
        <v>77</v>
      </c>
      <c r="W80" s="6" t="s">
        <v>78</v>
      </c>
      <c r="X80" s="6" t="s">
        <v>21</v>
      </c>
    </row>
    <row r="81" customFormat="false" ht="35.05" hidden="false" customHeight="false" outlineLevel="0" collapsed="false">
      <c r="A81" s="4" t="s">
        <v>542</v>
      </c>
      <c r="B81" s="4" t="s">
        <v>30</v>
      </c>
      <c r="C81" s="4" t="n">
        <v>2</v>
      </c>
      <c r="D81" s="4" t="s">
        <v>31</v>
      </c>
      <c r="E81" s="4" t="s">
        <v>34</v>
      </c>
      <c r="F81" s="4" t="s">
        <v>521</v>
      </c>
      <c r="G81" s="4" t="s">
        <v>35</v>
      </c>
      <c r="H81" s="4" t="s">
        <v>64</v>
      </c>
      <c r="I81" s="4" t="s">
        <v>107</v>
      </c>
      <c r="J81" s="4" t="s">
        <v>535</v>
      </c>
      <c r="K81" s="4" t="s">
        <v>543</v>
      </c>
      <c r="L81" s="4" t="s">
        <v>544</v>
      </c>
      <c r="M81" s="4" t="s">
        <v>226</v>
      </c>
      <c r="N81" s="4" t="s">
        <v>282</v>
      </c>
      <c r="O81" s="4"/>
      <c r="P81" s="4" t="s">
        <v>226</v>
      </c>
      <c r="Q81" s="4" t="s">
        <v>545</v>
      </c>
      <c r="R81" s="4" t="s">
        <v>546</v>
      </c>
      <c r="S81" s="4" t="n">
        <v>1</v>
      </c>
      <c r="T81" s="4" t="s">
        <v>75</v>
      </c>
      <c r="U81" s="4" t="s">
        <v>76</v>
      </c>
      <c r="V81" s="4" t="s">
        <v>77</v>
      </c>
      <c r="W81" s="4" t="s">
        <v>78</v>
      </c>
      <c r="X81" s="4" t="s">
        <v>21</v>
      </c>
    </row>
    <row r="82" customFormat="false" ht="35.05" hidden="false" customHeight="false" outlineLevel="0" collapsed="false">
      <c r="A82" s="6" t="s">
        <v>547</v>
      </c>
      <c r="B82" s="6" t="s">
        <v>30</v>
      </c>
      <c r="C82" s="6" t="n">
        <v>2</v>
      </c>
      <c r="D82" s="6" t="s">
        <v>31</v>
      </c>
      <c r="E82" s="6" t="s">
        <v>34</v>
      </c>
      <c r="F82" s="6" t="s">
        <v>521</v>
      </c>
      <c r="G82" s="6" t="s">
        <v>35</v>
      </c>
      <c r="H82" s="6" t="s">
        <v>64</v>
      </c>
      <c r="I82" s="6" t="s">
        <v>80</v>
      </c>
      <c r="J82" s="6" t="s">
        <v>535</v>
      </c>
      <c r="K82" s="6" t="s">
        <v>548</v>
      </c>
      <c r="L82" s="6" t="s">
        <v>93</v>
      </c>
      <c r="M82" s="6" t="s">
        <v>549</v>
      </c>
      <c r="N82" s="6" t="s">
        <v>550</v>
      </c>
      <c r="O82" s="6"/>
      <c r="P82" s="6" t="s">
        <v>93</v>
      </c>
      <c r="Q82" s="6" t="s">
        <v>551</v>
      </c>
      <c r="R82" s="6" t="s">
        <v>552</v>
      </c>
      <c r="S82" s="6" t="n">
        <v>1</v>
      </c>
      <c r="T82" s="6" t="s">
        <v>75</v>
      </c>
      <c r="U82" s="6" t="s">
        <v>76</v>
      </c>
      <c r="V82" s="6" t="s">
        <v>77</v>
      </c>
      <c r="W82" s="6" t="s">
        <v>78</v>
      </c>
      <c r="X82" s="6" t="s">
        <v>21</v>
      </c>
    </row>
    <row r="83" customFormat="false" ht="35.05" hidden="false" customHeight="false" outlineLevel="0" collapsed="false">
      <c r="A83" s="4" t="s">
        <v>553</v>
      </c>
      <c r="B83" s="4" t="s">
        <v>30</v>
      </c>
      <c r="C83" s="4" t="n">
        <v>2</v>
      </c>
      <c r="D83" s="4" t="s">
        <v>31</v>
      </c>
      <c r="E83" s="4" t="s">
        <v>34</v>
      </c>
      <c r="F83" s="4" t="s">
        <v>521</v>
      </c>
      <c r="G83" s="4" t="s">
        <v>35</v>
      </c>
      <c r="H83" s="4" t="s">
        <v>64</v>
      </c>
      <c r="I83" s="4" t="s">
        <v>80</v>
      </c>
      <c r="J83" s="4" t="s">
        <v>522</v>
      </c>
      <c r="K83" s="4" t="s">
        <v>554</v>
      </c>
      <c r="L83" s="4" t="s">
        <v>555</v>
      </c>
      <c r="M83" s="4" t="s">
        <v>556</v>
      </c>
      <c r="N83" s="4" t="s">
        <v>557</v>
      </c>
      <c r="O83" s="4"/>
      <c r="P83" s="4" t="s">
        <v>555</v>
      </c>
      <c r="Q83" s="4" t="s">
        <v>558</v>
      </c>
      <c r="R83" s="4" t="s">
        <v>559</v>
      </c>
      <c r="S83" s="4" t="n">
        <v>1</v>
      </c>
      <c r="T83" s="4" t="s">
        <v>75</v>
      </c>
      <c r="U83" s="4" t="s">
        <v>76</v>
      </c>
      <c r="V83" s="4" t="s">
        <v>77</v>
      </c>
      <c r="W83" s="4" t="s">
        <v>78</v>
      </c>
      <c r="X83" s="4" t="s">
        <v>21</v>
      </c>
    </row>
    <row r="84" customFormat="false" ht="35.05" hidden="false" customHeight="false" outlineLevel="0" collapsed="false">
      <c r="A84" s="6" t="s">
        <v>560</v>
      </c>
      <c r="B84" s="6" t="s">
        <v>30</v>
      </c>
      <c r="C84" s="6" t="n">
        <v>2</v>
      </c>
      <c r="D84" s="6" t="s">
        <v>31</v>
      </c>
      <c r="E84" s="6" t="s">
        <v>34</v>
      </c>
      <c r="F84" s="6" t="s">
        <v>521</v>
      </c>
      <c r="G84" s="6" t="s">
        <v>35</v>
      </c>
      <c r="H84" s="6" t="s">
        <v>64</v>
      </c>
      <c r="I84" s="6" t="s">
        <v>107</v>
      </c>
      <c r="J84" s="6" t="s">
        <v>561</v>
      </c>
      <c r="K84" s="6" t="s">
        <v>562</v>
      </c>
      <c r="L84" s="6" t="s">
        <v>563</v>
      </c>
      <c r="M84" s="6" t="s">
        <v>564</v>
      </c>
      <c r="N84" s="6" t="s">
        <v>565</v>
      </c>
      <c r="O84" s="6"/>
      <c r="P84" s="6" t="s">
        <v>563</v>
      </c>
      <c r="Q84" s="6" t="s">
        <v>566</v>
      </c>
      <c r="R84" s="6" t="s">
        <v>567</v>
      </c>
      <c r="S84" s="6" t="n">
        <v>1</v>
      </c>
      <c r="T84" s="6" t="s">
        <v>75</v>
      </c>
      <c r="U84" s="6" t="s">
        <v>76</v>
      </c>
      <c r="V84" s="6" t="s">
        <v>77</v>
      </c>
      <c r="W84" s="6" t="s">
        <v>78</v>
      </c>
      <c r="X84" s="6" t="s">
        <v>21</v>
      </c>
    </row>
    <row r="85" customFormat="false" ht="35.05" hidden="false" customHeight="false" outlineLevel="0" collapsed="false">
      <c r="A85" s="4" t="s">
        <v>568</v>
      </c>
      <c r="B85" s="4" t="s">
        <v>30</v>
      </c>
      <c r="C85" s="4" t="n">
        <v>2</v>
      </c>
      <c r="D85" s="4" t="s">
        <v>31</v>
      </c>
      <c r="E85" s="4" t="s">
        <v>34</v>
      </c>
      <c r="F85" s="4" t="s">
        <v>521</v>
      </c>
      <c r="G85" s="4" t="s">
        <v>35</v>
      </c>
      <c r="H85" s="4" t="s">
        <v>126</v>
      </c>
      <c r="I85" s="4" t="s">
        <v>127</v>
      </c>
      <c r="J85" s="4" t="s">
        <v>66</v>
      </c>
      <c r="K85" s="4" t="s">
        <v>569</v>
      </c>
      <c r="L85" s="4"/>
      <c r="M85" s="4"/>
      <c r="N85" s="4"/>
      <c r="O85" s="4"/>
      <c r="P85" s="4" t="s">
        <v>505</v>
      </c>
      <c r="Q85" s="4" t="s">
        <v>570</v>
      </c>
      <c r="R85" s="4" t="s">
        <v>571</v>
      </c>
      <c r="S85" s="4" t="n">
        <v>2</v>
      </c>
      <c r="T85" s="4" t="s">
        <v>131</v>
      </c>
      <c r="U85" s="4" t="s">
        <v>132</v>
      </c>
      <c r="V85" s="4" t="s">
        <v>77</v>
      </c>
      <c r="W85" s="4" t="s">
        <v>78</v>
      </c>
      <c r="X85" s="4" t="s">
        <v>21</v>
      </c>
    </row>
    <row r="86" customFormat="false" ht="35.05" hidden="false" customHeight="false" outlineLevel="0" collapsed="false">
      <c r="A86" s="6" t="s">
        <v>572</v>
      </c>
      <c r="B86" s="6" t="s">
        <v>30</v>
      </c>
      <c r="C86" s="6" t="n">
        <v>2</v>
      </c>
      <c r="D86" s="6" t="s">
        <v>31</v>
      </c>
      <c r="E86" s="6" t="s">
        <v>34</v>
      </c>
      <c r="F86" s="6" t="s">
        <v>521</v>
      </c>
      <c r="G86" s="6" t="s">
        <v>35</v>
      </c>
      <c r="H86" s="6" t="s">
        <v>501</v>
      </c>
      <c r="I86" s="6" t="s">
        <v>502</v>
      </c>
      <c r="J86" s="6" t="s">
        <v>503</v>
      </c>
      <c r="K86" s="6" t="s">
        <v>573</v>
      </c>
      <c r="L86" s="6"/>
      <c r="M86" s="6"/>
      <c r="N86" s="6"/>
      <c r="O86" s="6"/>
      <c r="P86" s="6" t="s">
        <v>505</v>
      </c>
      <c r="Q86" s="6" t="s">
        <v>574</v>
      </c>
      <c r="R86" s="6" t="s">
        <v>575</v>
      </c>
      <c r="S86" s="6" t="n">
        <v>4</v>
      </c>
      <c r="T86" s="6" t="s">
        <v>131</v>
      </c>
      <c r="U86" s="6" t="s">
        <v>132</v>
      </c>
      <c r="V86" s="6" t="s">
        <v>77</v>
      </c>
      <c r="W86" s="6" t="s">
        <v>78</v>
      </c>
      <c r="X86" s="6" t="s">
        <v>21</v>
      </c>
    </row>
    <row r="87" customFormat="false" ht="35.05" hidden="false" customHeight="false" outlineLevel="0" collapsed="false">
      <c r="A87" s="4" t="s">
        <v>576</v>
      </c>
      <c r="B87" s="4" t="s">
        <v>30</v>
      </c>
      <c r="C87" s="4" t="n">
        <v>2</v>
      </c>
      <c r="D87" s="4" t="s">
        <v>31</v>
      </c>
      <c r="E87" s="4" t="s">
        <v>34</v>
      </c>
      <c r="F87" s="4" t="s">
        <v>577</v>
      </c>
      <c r="G87" s="4" t="s">
        <v>35</v>
      </c>
      <c r="H87" s="4" t="s">
        <v>64</v>
      </c>
      <c r="I87" s="4" t="s">
        <v>578</v>
      </c>
      <c r="J87" s="4" t="s">
        <v>579</v>
      </c>
      <c r="K87" s="4" t="s">
        <v>580</v>
      </c>
      <c r="L87" s="4" t="s">
        <v>581</v>
      </c>
      <c r="M87" s="4" t="s">
        <v>582</v>
      </c>
      <c r="N87" s="4" t="s">
        <v>583</v>
      </c>
      <c r="O87" s="4"/>
      <c r="P87" s="4" t="s">
        <v>582</v>
      </c>
      <c r="Q87" s="4" t="s">
        <v>584</v>
      </c>
      <c r="R87" s="4" t="s">
        <v>585</v>
      </c>
      <c r="S87" s="4" t="n">
        <v>1</v>
      </c>
      <c r="T87" s="4" t="s">
        <v>75</v>
      </c>
      <c r="U87" s="4" t="s">
        <v>76</v>
      </c>
      <c r="V87" s="4" t="s">
        <v>77</v>
      </c>
      <c r="W87" s="4" t="s">
        <v>78</v>
      </c>
      <c r="X87" s="4" t="s">
        <v>21</v>
      </c>
    </row>
    <row r="88" customFormat="false" ht="35.05" hidden="false" customHeight="false" outlineLevel="0" collapsed="false">
      <c r="A88" s="6" t="s">
        <v>586</v>
      </c>
      <c r="B88" s="6" t="s">
        <v>30</v>
      </c>
      <c r="C88" s="6" t="n">
        <v>2</v>
      </c>
      <c r="D88" s="6" t="s">
        <v>31</v>
      </c>
      <c r="E88" s="6" t="s">
        <v>34</v>
      </c>
      <c r="F88" s="6" t="s">
        <v>577</v>
      </c>
      <c r="G88" s="6" t="s">
        <v>35</v>
      </c>
      <c r="H88" s="6" t="s">
        <v>64</v>
      </c>
      <c r="I88" s="6" t="s">
        <v>578</v>
      </c>
      <c r="J88" s="6" t="s">
        <v>579</v>
      </c>
      <c r="K88" s="6" t="s">
        <v>587</v>
      </c>
      <c r="L88" s="6" t="s">
        <v>588</v>
      </c>
      <c r="M88" s="6" t="s">
        <v>221</v>
      </c>
      <c r="N88" s="6" t="s">
        <v>589</v>
      </c>
      <c r="O88" s="6"/>
      <c r="P88" s="6" t="s">
        <v>221</v>
      </c>
      <c r="Q88" s="6" t="s">
        <v>590</v>
      </c>
      <c r="R88" s="6" t="s">
        <v>591</v>
      </c>
      <c r="S88" s="6" t="n">
        <v>1</v>
      </c>
      <c r="T88" s="6" t="s">
        <v>75</v>
      </c>
      <c r="U88" s="6" t="s">
        <v>76</v>
      </c>
      <c r="V88" s="6" t="s">
        <v>77</v>
      </c>
      <c r="W88" s="6" t="s">
        <v>78</v>
      </c>
      <c r="X88" s="6" t="s">
        <v>21</v>
      </c>
    </row>
    <row r="89" customFormat="false" ht="35.05" hidden="false" customHeight="false" outlineLevel="0" collapsed="false">
      <c r="A89" s="4" t="s">
        <v>592</v>
      </c>
      <c r="B89" s="4" t="s">
        <v>36</v>
      </c>
      <c r="C89" s="4" t="n">
        <v>2</v>
      </c>
      <c r="D89" s="4" t="s">
        <v>31</v>
      </c>
      <c r="E89" s="4" t="s">
        <v>34</v>
      </c>
      <c r="F89" s="4" t="s">
        <v>577</v>
      </c>
      <c r="G89" s="4" t="s">
        <v>35</v>
      </c>
      <c r="H89" s="4" t="s">
        <v>64</v>
      </c>
      <c r="I89" s="4" t="s">
        <v>578</v>
      </c>
      <c r="J89" s="4" t="s">
        <v>579</v>
      </c>
      <c r="K89" s="4" t="s">
        <v>81</v>
      </c>
      <c r="L89" s="4" t="s">
        <v>82</v>
      </c>
      <c r="M89" s="4" t="s">
        <v>68</v>
      </c>
      <c r="N89" s="4" t="s">
        <v>70</v>
      </c>
      <c r="O89" s="4"/>
      <c r="P89" s="4" t="s">
        <v>68</v>
      </c>
      <c r="Q89" s="4" t="s">
        <v>141</v>
      </c>
      <c r="R89" s="4" t="s">
        <v>593</v>
      </c>
      <c r="S89" s="4" t="n">
        <v>1</v>
      </c>
      <c r="T89" s="4" t="s">
        <v>75</v>
      </c>
      <c r="U89" s="4" t="s">
        <v>76</v>
      </c>
      <c r="V89" s="4" t="s">
        <v>77</v>
      </c>
      <c r="W89" s="4" t="s">
        <v>78</v>
      </c>
      <c r="X89" s="4" t="s">
        <v>21</v>
      </c>
    </row>
    <row r="90" customFormat="false" ht="35.05" hidden="false" customHeight="false" outlineLevel="0" collapsed="false">
      <c r="A90" s="6" t="s">
        <v>594</v>
      </c>
      <c r="B90" s="6" t="s">
        <v>36</v>
      </c>
      <c r="C90" s="6" t="n">
        <v>2</v>
      </c>
      <c r="D90" s="6" t="s">
        <v>31</v>
      </c>
      <c r="E90" s="6" t="s">
        <v>34</v>
      </c>
      <c r="F90" s="6" t="s">
        <v>577</v>
      </c>
      <c r="G90" s="6" t="s">
        <v>35</v>
      </c>
      <c r="H90" s="6" t="s">
        <v>64</v>
      </c>
      <c r="I90" s="6" t="s">
        <v>578</v>
      </c>
      <c r="J90" s="6" t="s">
        <v>579</v>
      </c>
      <c r="K90" s="6" t="s">
        <v>595</v>
      </c>
      <c r="L90" s="6" t="s">
        <v>72</v>
      </c>
      <c r="M90" s="6" t="s">
        <v>596</v>
      </c>
      <c r="N90" s="6" t="s">
        <v>597</v>
      </c>
      <c r="O90" s="6"/>
      <c r="P90" s="6" t="s">
        <v>596</v>
      </c>
      <c r="Q90" s="6" t="s">
        <v>598</v>
      </c>
      <c r="R90" s="6" t="s">
        <v>599</v>
      </c>
      <c r="S90" s="6" t="n">
        <v>1</v>
      </c>
      <c r="T90" s="6" t="s">
        <v>75</v>
      </c>
      <c r="U90" s="6" t="s">
        <v>76</v>
      </c>
      <c r="V90" s="6" t="s">
        <v>77</v>
      </c>
      <c r="W90" s="6" t="s">
        <v>78</v>
      </c>
      <c r="X90" s="6" t="s">
        <v>21</v>
      </c>
    </row>
    <row r="91" customFormat="false" ht="35.05" hidden="false" customHeight="false" outlineLevel="0" collapsed="false">
      <c r="A91" s="4" t="s">
        <v>600</v>
      </c>
      <c r="B91" s="4" t="s">
        <v>39</v>
      </c>
      <c r="C91" s="4" t="n">
        <v>2</v>
      </c>
      <c r="D91" s="4" t="s">
        <v>31</v>
      </c>
      <c r="E91" s="4" t="s">
        <v>34</v>
      </c>
      <c r="F91" s="4" t="s">
        <v>577</v>
      </c>
      <c r="G91" s="4" t="s">
        <v>41</v>
      </c>
      <c r="H91" s="4" t="s">
        <v>64</v>
      </c>
      <c r="I91" s="4" t="s">
        <v>578</v>
      </c>
      <c r="J91" s="4" t="s">
        <v>579</v>
      </c>
      <c r="K91" s="4" t="s">
        <v>601</v>
      </c>
      <c r="L91" s="4" t="s">
        <v>602</v>
      </c>
      <c r="M91" s="4" t="s">
        <v>228</v>
      </c>
      <c r="N91" s="4" t="s">
        <v>282</v>
      </c>
      <c r="O91" s="4"/>
      <c r="P91" s="4" t="s">
        <v>228</v>
      </c>
      <c r="Q91" s="4" t="s">
        <v>603</v>
      </c>
      <c r="R91" s="4" t="s">
        <v>604</v>
      </c>
      <c r="S91" s="4" t="n">
        <v>1</v>
      </c>
      <c r="T91" s="4" t="s">
        <v>75</v>
      </c>
      <c r="U91" s="4" t="s">
        <v>76</v>
      </c>
      <c r="V91" s="4" t="s">
        <v>77</v>
      </c>
      <c r="W91" s="4" t="s">
        <v>78</v>
      </c>
      <c r="X91" s="4" t="s">
        <v>21</v>
      </c>
    </row>
    <row r="92" customFormat="false" ht="35.05" hidden="false" customHeight="false" outlineLevel="0" collapsed="false">
      <c r="A92" s="6" t="s">
        <v>605</v>
      </c>
      <c r="B92" s="6" t="s">
        <v>39</v>
      </c>
      <c r="C92" s="6" t="n">
        <v>2</v>
      </c>
      <c r="D92" s="6" t="s">
        <v>31</v>
      </c>
      <c r="E92" s="6" t="s">
        <v>34</v>
      </c>
      <c r="F92" s="6" t="s">
        <v>577</v>
      </c>
      <c r="G92" s="6" t="s">
        <v>41</v>
      </c>
      <c r="H92" s="6" t="s">
        <v>64</v>
      </c>
      <c r="I92" s="6" t="s">
        <v>578</v>
      </c>
      <c r="J92" s="6" t="s">
        <v>579</v>
      </c>
      <c r="K92" s="6" t="s">
        <v>606</v>
      </c>
      <c r="L92" s="6" t="s">
        <v>583</v>
      </c>
      <c r="M92" s="6" t="s">
        <v>607</v>
      </c>
      <c r="N92" s="6" t="s">
        <v>608</v>
      </c>
      <c r="O92" s="6"/>
      <c r="P92" s="6" t="s">
        <v>583</v>
      </c>
      <c r="Q92" s="6" t="s">
        <v>609</v>
      </c>
      <c r="R92" s="6" t="s">
        <v>610</v>
      </c>
      <c r="S92" s="6" t="n">
        <v>1</v>
      </c>
      <c r="T92" s="6" t="s">
        <v>75</v>
      </c>
      <c r="U92" s="6" t="s">
        <v>76</v>
      </c>
      <c r="V92" s="6" t="s">
        <v>77</v>
      </c>
      <c r="W92" s="6" t="s">
        <v>78</v>
      </c>
      <c r="X92" s="6" t="s">
        <v>21</v>
      </c>
    </row>
    <row r="93" customFormat="false" ht="35.05" hidden="false" customHeight="false" outlineLevel="0" collapsed="false">
      <c r="A93" s="4" t="s">
        <v>611</v>
      </c>
      <c r="B93" s="4" t="s">
        <v>42</v>
      </c>
      <c r="C93" s="4" t="n">
        <v>2</v>
      </c>
      <c r="D93" s="4" t="s">
        <v>31</v>
      </c>
      <c r="E93" s="4" t="s">
        <v>34</v>
      </c>
      <c r="F93" s="4" t="s">
        <v>577</v>
      </c>
      <c r="G93" s="4" t="s">
        <v>35</v>
      </c>
      <c r="H93" s="4" t="s">
        <v>64</v>
      </c>
      <c r="I93" s="4" t="s">
        <v>578</v>
      </c>
      <c r="J93" s="4" t="s">
        <v>579</v>
      </c>
      <c r="K93" s="4" t="s">
        <v>612</v>
      </c>
      <c r="L93" s="4" t="s">
        <v>613</v>
      </c>
      <c r="M93" s="4" t="s">
        <v>614</v>
      </c>
      <c r="N93" s="4" t="s">
        <v>615</v>
      </c>
      <c r="O93" s="4"/>
      <c r="P93" s="4" t="s">
        <v>614</v>
      </c>
      <c r="Q93" s="4" t="s">
        <v>616</v>
      </c>
      <c r="R93" s="4" t="s">
        <v>617</v>
      </c>
      <c r="S93" s="4" t="n">
        <v>1</v>
      </c>
      <c r="T93" s="4" t="s">
        <v>75</v>
      </c>
      <c r="U93" s="4" t="s">
        <v>76</v>
      </c>
      <c r="V93" s="4" t="s">
        <v>77</v>
      </c>
      <c r="W93" s="4" t="s">
        <v>78</v>
      </c>
      <c r="X93" s="4" t="s">
        <v>21</v>
      </c>
    </row>
    <row r="94" customFormat="false" ht="35.05" hidden="false" customHeight="false" outlineLevel="0" collapsed="false">
      <c r="A94" s="6" t="s">
        <v>618</v>
      </c>
      <c r="B94" s="6" t="s">
        <v>42</v>
      </c>
      <c r="C94" s="6" t="n">
        <v>2</v>
      </c>
      <c r="D94" s="6" t="s">
        <v>31</v>
      </c>
      <c r="E94" s="6" t="s">
        <v>34</v>
      </c>
      <c r="F94" s="6" t="s">
        <v>577</v>
      </c>
      <c r="G94" s="6" t="s">
        <v>35</v>
      </c>
      <c r="H94" s="6" t="s">
        <v>64</v>
      </c>
      <c r="I94" s="6" t="s">
        <v>578</v>
      </c>
      <c r="J94" s="6" t="s">
        <v>579</v>
      </c>
      <c r="K94" s="6" t="s">
        <v>619</v>
      </c>
      <c r="L94" s="6" t="s">
        <v>620</v>
      </c>
      <c r="M94" s="6" t="s">
        <v>621</v>
      </c>
      <c r="N94" s="6" t="s">
        <v>622</v>
      </c>
      <c r="O94" s="6"/>
      <c r="P94" s="6" t="s">
        <v>621</v>
      </c>
      <c r="Q94" s="6" t="s">
        <v>590</v>
      </c>
      <c r="R94" s="6" t="s">
        <v>623</v>
      </c>
      <c r="S94" s="6" t="n">
        <v>1</v>
      </c>
      <c r="T94" s="6" t="s">
        <v>75</v>
      </c>
      <c r="U94" s="6" t="s">
        <v>76</v>
      </c>
      <c r="V94" s="6" t="s">
        <v>77</v>
      </c>
      <c r="W94" s="6" t="s">
        <v>78</v>
      </c>
      <c r="X94" s="6" t="s">
        <v>21</v>
      </c>
    </row>
    <row r="95" customFormat="false" ht="35.05" hidden="false" customHeight="false" outlineLevel="0" collapsed="false">
      <c r="A95" s="4" t="s">
        <v>624</v>
      </c>
      <c r="B95" s="4" t="s">
        <v>44</v>
      </c>
      <c r="C95" s="4" t="n">
        <v>2</v>
      </c>
      <c r="D95" s="4" t="s">
        <v>31</v>
      </c>
      <c r="E95" s="4" t="s">
        <v>34</v>
      </c>
      <c r="F95" s="4" t="s">
        <v>577</v>
      </c>
      <c r="G95" s="4" t="s">
        <v>35</v>
      </c>
      <c r="H95" s="4" t="s">
        <v>64</v>
      </c>
      <c r="I95" s="4" t="s">
        <v>578</v>
      </c>
      <c r="J95" s="4" t="s">
        <v>579</v>
      </c>
      <c r="K95" s="4" t="s">
        <v>625</v>
      </c>
      <c r="L95" s="4" t="s">
        <v>421</v>
      </c>
      <c r="M95" s="4" t="s">
        <v>423</v>
      </c>
      <c r="N95" s="4" t="s">
        <v>422</v>
      </c>
      <c r="O95" s="4"/>
      <c r="P95" s="4" t="s">
        <v>422</v>
      </c>
      <c r="Q95" s="4" t="s">
        <v>626</v>
      </c>
      <c r="R95" s="4" t="s">
        <v>627</v>
      </c>
      <c r="S95" s="4" t="n">
        <v>1</v>
      </c>
      <c r="T95" s="4" t="s">
        <v>75</v>
      </c>
      <c r="U95" s="4" t="s">
        <v>76</v>
      </c>
      <c r="V95" s="4" t="s">
        <v>77</v>
      </c>
      <c r="W95" s="4" t="s">
        <v>78</v>
      </c>
      <c r="X95" s="4" t="s">
        <v>21</v>
      </c>
    </row>
    <row r="96" customFormat="false" ht="35.05" hidden="false" customHeight="false" outlineLevel="0" collapsed="false">
      <c r="A96" s="6" t="s">
        <v>628</v>
      </c>
      <c r="B96" s="6" t="s">
        <v>44</v>
      </c>
      <c r="C96" s="6" t="n">
        <v>2</v>
      </c>
      <c r="D96" s="6" t="s">
        <v>31</v>
      </c>
      <c r="E96" s="6" t="s">
        <v>34</v>
      </c>
      <c r="F96" s="6" t="s">
        <v>577</v>
      </c>
      <c r="G96" s="6" t="s">
        <v>35</v>
      </c>
      <c r="H96" s="6" t="s">
        <v>64</v>
      </c>
      <c r="I96" s="6" t="s">
        <v>578</v>
      </c>
      <c r="J96" s="6" t="s">
        <v>579</v>
      </c>
      <c r="K96" s="6" t="s">
        <v>451</v>
      </c>
      <c r="L96" s="6" t="s">
        <v>453</v>
      </c>
      <c r="M96" s="6" t="s">
        <v>452</v>
      </c>
      <c r="N96" s="6" t="s">
        <v>454</v>
      </c>
      <c r="O96" s="6"/>
      <c r="P96" s="6" t="s">
        <v>452</v>
      </c>
      <c r="Q96" s="6" t="s">
        <v>629</v>
      </c>
      <c r="R96" s="6" t="s">
        <v>630</v>
      </c>
      <c r="S96" s="6" t="n">
        <v>1</v>
      </c>
      <c r="T96" s="6" t="s">
        <v>75</v>
      </c>
      <c r="U96" s="6" t="s">
        <v>76</v>
      </c>
      <c r="V96" s="6" t="s">
        <v>77</v>
      </c>
      <c r="W96" s="6" t="s">
        <v>78</v>
      </c>
      <c r="X96" s="6" t="s">
        <v>21</v>
      </c>
    </row>
  </sheetData>
  <autoFilter ref="A1:X96"/>
  <dataValidations count="6">
    <dataValidation allowBlank="true" errorStyle="stop" operator="between" showDropDown="false" showErrorMessage="false" showInputMessage="false" sqref="G2:G96" type="list">
      <formula1>Enums!$E$2:$E$12</formula1>
      <formula2>0</formula2>
    </dataValidation>
    <dataValidation allowBlank="true" errorStyle="stop" operator="between" showDropDown="false" showErrorMessage="false" showInputMessage="false" sqref="H2:H96" type="list">
      <formula1>Enums!$A$2:$A$4</formula1>
      <formula2>0</formula2>
    </dataValidation>
    <dataValidation allowBlank="true" errorStyle="stop" operator="between" showDropDown="false" showErrorMessage="false" showInputMessage="false" sqref="J2:J96" type="list">
      <formula1>Enums!$D$2:$D$8</formula1>
      <formula2>0</formula2>
    </dataValidation>
    <dataValidation allowBlank="true" errorStyle="stop" operator="between" showDropDown="false" showErrorMessage="false" showInputMessage="false" sqref="T2:T96" type="list">
      <formula1>Enums!$B$2:$B$4</formula1>
      <formula2>0</formula2>
    </dataValidation>
    <dataValidation allowBlank="true" errorStyle="stop" operator="between" showDropDown="false" showErrorMessage="false" showInputMessage="false" sqref="U2:U96" type="list">
      <formula1>Enums!$C$2:$C$4</formula1>
      <formula2>0</formula2>
    </dataValidation>
    <dataValidation allowBlank="true" errorStyle="stop" operator="between" showDropDown="false" showErrorMessage="false" showInputMessage="false" sqref="W2:W96" type="list">
      <formula1>Enums!$F$2:$F$5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5" hidden="false" customHeight="false" outlineLevel="0" collapsed="false">
      <c r="A1" s="5" t="s">
        <v>48</v>
      </c>
      <c r="B1" s="5" t="s">
        <v>10</v>
      </c>
      <c r="C1" s="5" t="s">
        <v>59</v>
      </c>
      <c r="D1" s="5" t="s">
        <v>12</v>
      </c>
      <c r="E1" s="5" t="s">
        <v>29</v>
      </c>
      <c r="F1" s="5" t="s">
        <v>61</v>
      </c>
    </row>
    <row r="2" customFormat="false" ht="15" hidden="false" customHeight="false" outlineLevel="0" collapsed="false">
      <c r="A2" s="7" t="s">
        <v>64</v>
      </c>
      <c r="B2" s="7" t="s">
        <v>75</v>
      </c>
      <c r="C2" s="7" t="s">
        <v>76</v>
      </c>
      <c r="D2" s="7" t="s">
        <v>522</v>
      </c>
      <c r="E2" s="7" t="s">
        <v>35</v>
      </c>
      <c r="F2" s="7" t="s">
        <v>631</v>
      </c>
    </row>
    <row r="3" customFormat="false" ht="15" hidden="false" customHeight="false" outlineLevel="0" collapsed="false">
      <c r="A3" s="7" t="s">
        <v>126</v>
      </c>
      <c r="B3" s="7" t="s">
        <v>131</v>
      </c>
      <c r="C3" s="7" t="s">
        <v>132</v>
      </c>
      <c r="D3" s="7" t="s">
        <v>535</v>
      </c>
      <c r="E3" s="7" t="s">
        <v>41</v>
      </c>
      <c r="F3" s="7" t="s">
        <v>632</v>
      </c>
    </row>
    <row r="4" customFormat="false" ht="15" hidden="false" customHeight="false" outlineLevel="0" collapsed="false">
      <c r="A4" s="7" t="s">
        <v>501</v>
      </c>
      <c r="B4" s="7" t="s">
        <v>633</v>
      </c>
      <c r="C4" s="7" t="s">
        <v>634</v>
      </c>
      <c r="D4" s="7" t="s">
        <v>66</v>
      </c>
      <c r="E4" s="7" t="s">
        <v>635</v>
      </c>
      <c r="F4" s="7" t="s">
        <v>78</v>
      </c>
    </row>
    <row r="5" customFormat="false" ht="15" hidden="false" customHeight="false" outlineLevel="0" collapsed="false">
      <c r="D5" s="7" t="s">
        <v>134</v>
      </c>
      <c r="E5" s="7" t="s">
        <v>636</v>
      </c>
      <c r="F5" s="7" t="s">
        <v>637</v>
      </c>
    </row>
    <row r="6" customFormat="false" ht="15" hidden="false" customHeight="false" outlineLevel="0" collapsed="false">
      <c r="D6" s="7" t="s">
        <v>579</v>
      </c>
      <c r="E6" s="7" t="s">
        <v>638</v>
      </c>
    </row>
    <row r="7" customFormat="false" ht="15" hidden="false" customHeight="false" outlineLevel="0" collapsed="false">
      <c r="D7" s="7" t="s">
        <v>503</v>
      </c>
      <c r="E7" s="7" t="s">
        <v>639</v>
      </c>
    </row>
    <row r="8" customFormat="false" ht="15" hidden="false" customHeight="false" outlineLevel="0" collapsed="false">
      <c r="D8" s="7" t="s">
        <v>561</v>
      </c>
      <c r="E8" s="7" t="s">
        <v>640</v>
      </c>
    </row>
    <row r="9" customFormat="false" ht="15" hidden="false" customHeight="false" outlineLevel="0" collapsed="false">
      <c r="E9" s="7" t="s">
        <v>641</v>
      </c>
    </row>
    <row r="10" customFormat="false" ht="15" hidden="false" customHeight="false" outlineLevel="0" collapsed="false">
      <c r="E10" s="7" t="s">
        <v>642</v>
      </c>
    </row>
    <row r="11" customFormat="false" ht="15" hidden="false" customHeight="false" outlineLevel="0" collapsed="false">
      <c r="E11" s="7" t="s">
        <v>643</v>
      </c>
    </row>
    <row r="12" customFormat="false" ht="15" hidden="false" customHeight="false" outlineLevel="0" collapsed="false">
      <c r="E12" s="7"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8"/>
    <col collapsed="false" customWidth="true" hidden="false" outlineLevel="0" max="6" min="4" style="0" width="14"/>
    <col collapsed="false" customWidth="true" hidden="false" outlineLevel="0" max="8" min="7" style="0" width="12"/>
  </cols>
  <sheetData>
    <row r="1" customFormat="false" ht="15" hidden="false" customHeight="false" outlineLevel="0" collapsed="false">
      <c r="A1" s="5" t="s">
        <v>22</v>
      </c>
      <c r="B1" s="5" t="s">
        <v>645</v>
      </c>
      <c r="C1" s="5" t="s">
        <v>64</v>
      </c>
      <c r="D1" s="5" t="s">
        <v>126</v>
      </c>
      <c r="E1" s="5" t="s">
        <v>501</v>
      </c>
      <c r="F1" s="5" t="s">
        <v>66</v>
      </c>
      <c r="G1" s="5" t="s">
        <v>134</v>
      </c>
      <c r="H1" s="5" t="s">
        <v>579</v>
      </c>
    </row>
    <row r="2" customFormat="false" ht="15" hidden="false" customHeight="false" outlineLevel="0" collapsed="false">
      <c r="A2" s="6" t="s">
        <v>30</v>
      </c>
      <c r="B2" s="6" t="n">
        <f aca="false">COUNTIF(Items!$B:$B,$A2)</f>
        <v>11</v>
      </c>
      <c r="C2" s="6" t="n">
        <f aca="false">COUNTIFS(Items!$B:$B,$A2,Items!$H:$H,"MC")</f>
        <v>9</v>
      </c>
      <c r="D2" s="6" t="n">
        <f aca="false">COUNTIFS(Items!$B:$B,$A2,Items!$H:$H,"Constructed")</f>
        <v>1</v>
      </c>
      <c r="E2" s="6" t="n">
        <f aca="false">COUNTIFS(Items!$B:$B,$A2,Items!$H:$H,"Performance")</f>
        <v>1</v>
      </c>
      <c r="F2" s="6" t="n">
        <f aca="false">COUNTIFS(Items!$B:$B,$A2,Items!$J:$J,"Summative A")</f>
        <v>1</v>
      </c>
      <c r="G2" s="6" t="n">
        <f aca="false">COUNTIFS(Items!$B:$B,$A2,Items!$J:$J,"Delayed B")</f>
        <v>0</v>
      </c>
      <c r="H2" s="6" t="n">
        <f aca="false">COUNTIFS(Items!$B:$B,$A2,Items!$J:$J,"Capstone")</f>
        <v>2</v>
      </c>
    </row>
    <row r="3" customFormat="false" ht="15" hidden="false" customHeight="false" outlineLevel="0" collapsed="false">
      <c r="A3" s="4" t="s">
        <v>36</v>
      </c>
      <c r="B3" s="4" t="n">
        <f aca="false">COUNTIF(Items!$B:$B,$A3)</f>
        <v>21</v>
      </c>
      <c r="C3" s="4" t="n">
        <f aca="false">COUNTIFS(Items!$B:$B,$A3,Items!$H:$H,"MC")</f>
        <v>18</v>
      </c>
      <c r="D3" s="4" t="n">
        <f aca="false">COUNTIFS(Items!$B:$B,$A3,Items!$H:$H,"Constructed")</f>
        <v>2</v>
      </c>
      <c r="E3" s="4" t="n">
        <f aca="false">COUNTIFS(Items!$B:$B,$A3,Items!$H:$H,"Performance")</f>
        <v>1</v>
      </c>
      <c r="F3" s="4" t="n">
        <f aca="false">COUNTIFS(Items!$B:$B,$A3,Items!$J:$J,"Summative A")</f>
        <v>9</v>
      </c>
      <c r="G3" s="4" t="n">
        <f aca="false">COUNTIFS(Items!$B:$B,$A3,Items!$J:$J,"Delayed B")</f>
        <v>9</v>
      </c>
      <c r="H3" s="4" t="n">
        <f aca="false">COUNTIFS(Items!$B:$B,$A3,Items!$J:$J,"Capstone")</f>
        <v>2</v>
      </c>
    </row>
    <row r="4" customFormat="false" ht="15" hidden="false" customHeight="false" outlineLevel="0" collapsed="false">
      <c r="A4" s="6" t="s">
        <v>39</v>
      </c>
      <c r="B4" s="6" t="n">
        <f aca="false">COUNTIF(Items!$B:$B,$A4)</f>
        <v>21</v>
      </c>
      <c r="C4" s="6" t="n">
        <f aca="false">COUNTIFS(Items!$B:$B,$A4,Items!$H:$H,"MC")</f>
        <v>18</v>
      </c>
      <c r="D4" s="6" t="n">
        <f aca="false">COUNTIFS(Items!$B:$B,$A4,Items!$H:$H,"Constructed")</f>
        <v>2</v>
      </c>
      <c r="E4" s="6" t="n">
        <f aca="false">COUNTIFS(Items!$B:$B,$A4,Items!$H:$H,"Performance")</f>
        <v>1</v>
      </c>
      <c r="F4" s="6" t="n">
        <f aca="false">COUNTIFS(Items!$B:$B,$A4,Items!$J:$J,"Summative A")</f>
        <v>9</v>
      </c>
      <c r="G4" s="6" t="n">
        <f aca="false">COUNTIFS(Items!$B:$B,$A4,Items!$J:$J,"Delayed B")</f>
        <v>9</v>
      </c>
      <c r="H4" s="6" t="n">
        <f aca="false">COUNTIFS(Items!$B:$B,$A4,Items!$J:$J,"Capstone")</f>
        <v>2</v>
      </c>
    </row>
    <row r="5" customFormat="false" ht="15" hidden="false" customHeight="false" outlineLevel="0" collapsed="false">
      <c r="A5" s="4" t="s">
        <v>42</v>
      </c>
      <c r="B5" s="4" t="n">
        <f aca="false">COUNTIF(Items!$B:$B,$A5)</f>
        <v>21</v>
      </c>
      <c r="C5" s="4" t="n">
        <f aca="false">COUNTIFS(Items!$B:$B,$A5,Items!$H:$H,"MC")</f>
        <v>18</v>
      </c>
      <c r="D5" s="4" t="n">
        <f aca="false">COUNTIFS(Items!$B:$B,$A5,Items!$H:$H,"Constructed")</f>
        <v>2</v>
      </c>
      <c r="E5" s="4" t="n">
        <f aca="false">COUNTIFS(Items!$B:$B,$A5,Items!$H:$H,"Performance")</f>
        <v>1</v>
      </c>
      <c r="F5" s="4" t="n">
        <f aca="false">COUNTIFS(Items!$B:$B,$A5,Items!$J:$J,"Summative A")</f>
        <v>9</v>
      </c>
      <c r="G5" s="4" t="n">
        <f aca="false">COUNTIFS(Items!$B:$B,$A5,Items!$J:$J,"Delayed B")</f>
        <v>9</v>
      </c>
      <c r="H5" s="4" t="n">
        <f aca="false">COUNTIFS(Items!$B:$B,$A5,Items!$J:$J,"Capstone")</f>
        <v>2</v>
      </c>
    </row>
    <row r="6" customFormat="false" ht="15" hidden="false" customHeight="false" outlineLevel="0" collapsed="false">
      <c r="A6" s="6" t="s">
        <v>44</v>
      </c>
      <c r="B6" s="6" t="n">
        <f aca="false">COUNTIF(Items!$B:$B,$A6)</f>
        <v>21</v>
      </c>
      <c r="C6" s="6" t="n">
        <f aca="false">COUNTIFS(Items!$B:$B,$A6,Items!$H:$H,"MC")</f>
        <v>18</v>
      </c>
      <c r="D6" s="6" t="n">
        <f aca="false">COUNTIFS(Items!$B:$B,$A6,Items!$H:$H,"Constructed")</f>
        <v>2</v>
      </c>
      <c r="E6" s="6" t="n">
        <f aca="false">COUNTIFS(Items!$B:$B,$A6,Items!$H:$H,"Performance")</f>
        <v>1</v>
      </c>
      <c r="F6" s="6" t="n">
        <f aca="false">COUNTIFS(Items!$B:$B,$A6,Items!$J:$J,"Summative A")</f>
        <v>9</v>
      </c>
      <c r="G6" s="6" t="n">
        <f aca="false">COUNTIFS(Items!$B:$B,$A6,Items!$J:$J,"Delayed B")</f>
        <v>9</v>
      </c>
      <c r="H6" s="6" t="n">
        <f aca="false">COUNTIFS(Items!$B:$B,$A6,Items!$J:$J,"Capstone")</f>
        <v>2</v>
      </c>
    </row>
    <row r="7" customFormat="false" ht="15" hidden="false" customHeight="false" outlineLevel="0" collapsed="false">
      <c r="A7" s="8" t="s">
        <v>646</v>
      </c>
      <c r="B7" s="8" t="n">
        <f aca="false">SUM(B2:B6)</f>
        <v>95</v>
      </c>
      <c r="C7" s="8" t="n">
        <f aca="false">SUM(C2:C6)</f>
        <v>81</v>
      </c>
      <c r="D7" s="8" t="n">
        <f aca="false">SUM(D2:D6)</f>
        <v>9</v>
      </c>
      <c r="E7" s="8" t="n">
        <f aca="false">SUM(E2:E6)</f>
        <v>5</v>
      </c>
      <c r="F7" s="8" t="n">
        <f aca="false">SUM(F2:F6)</f>
        <v>37</v>
      </c>
      <c r="G7" s="8" t="n">
        <f aca="false">SUM(G2:G6)</f>
        <v>36</v>
      </c>
      <c r="H7" s="8" t="n">
        <f aca="false">SUM(H2:H6)</f>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2026-05-22T16:50:47Z</dcterms:created>
  <dc:creator>openpyxl</dc:creator>
  <dc:description/>
  <dc:language>en-US</dc:language>
  <cp:lastModifiedBy/>
  <dcterms:modified xsi:type="dcterms:W3CDTF">2026-05-22T16:50:47Z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